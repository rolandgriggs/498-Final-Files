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mailarizona-my.sharepoint.com/personal/jdasilvamorais_arizona_edu/Documents/UofA/UA_SPRING_26/BAT 498/"/>
    </mc:Choice>
  </mc:AlternateContent>
  <xr:revisionPtr revIDLastSave="49" documentId="11_2E1052D3802A36755DD1BF9256E728F9E7833325" xr6:coauthVersionLast="47" xr6:coauthVersionMax="47" xr10:uidLastSave="{B789ABF7-D719-416A-A693-C1A87DA39981}"/>
  <bookViews>
    <workbookView minimized="1" xWindow="-28395" yWindow="3195" windowWidth="16095" windowHeight="11175" xr2:uid="{00000000-000D-0000-FFFF-FFFF00000000}"/>
  </bookViews>
  <sheets>
    <sheet name="AI Period Dashboard" sheetId="1" r:id="rId1"/>
    <sheet name="Period Metrics" sheetId="2" r:id="rId2"/>
    <sheet name="Annual Detail" sheetId="3" r:id="rId3"/>
    <sheet name="Expected vs Actual" sheetId="4" r:id="rId4"/>
    <sheet name="AI Exposure Groups" sheetId="5" r:id="rId5"/>
    <sheet name="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<sst xmlns="http://schemas.openxmlformats.org/spreadsheetml/2006/main" count="220" uniqueCount="65">
  <si>
    <t>AI Impact Period Comparison</t>
  </si>
  <si>
    <t>Compares 2014-2019, 2020-2021, and 2022-2024 to look for employment patterns consistent with AI impact.</t>
  </si>
  <si>
    <t>Industry</t>
  </si>
  <si>
    <t>AI Exposure</t>
  </si>
  <si>
    <t>Pre-COVID / Pre-AI</t>
  </si>
  <si>
    <t>COVID Disruption</t>
  </si>
  <si>
    <t>AI Period</t>
  </si>
  <si>
    <t>Expected 2024</t>
  </si>
  <si>
    <t>Actual 2024</t>
  </si>
  <si>
    <t>Actual vs Expected Gap</t>
  </si>
  <si>
    <t>Gap %</t>
  </si>
  <si>
    <t>Administration Support Services</t>
  </si>
  <si>
    <t>High</t>
  </si>
  <si>
    <t>Construction</t>
  </si>
  <si>
    <t>Low</t>
  </si>
  <si>
    <t>Management of Companies</t>
  </si>
  <si>
    <t>Medical Equipment</t>
  </si>
  <si>
    <t>Medium</t>
  </si>
  <si>
    <t>Schools</t>
  </si>
  <si>
    <t>Software Publishers</t>
  </si>
  <si>
    <t>Year</t>
  </si>
  <si>
    <t>Admin Support</t>
  </si>
  <si>
    <t>Management</t>
  </si>
  <si>
    <t>Medical Equip.</t>
  </si>
  <si>
    <t>Software</t>
  </si>
  <si>
    <t>Period</t>
  </si>
  <si>
    <t>Start Year</t>
  </si>
  <si>
    <t>End Year</t>
  </si>
  <si>
    <t>Employment Start</t>
  </si>
  <si>
    <t>Employment End</t>
  </si>
  <si>
    <t>Employment Change</t>
  </si>
  <si>
    <t>Employment % Change</t>
  </si>
  <si>
    <t>Employment Annualized</t>
  </si>
  <si>
    <t>Wages % Change</t>
  </si>
  <si>
    <t>Avg Pay % Change</t>
  </si>
  <si>
    <t>Establishments % Change</t>
  </si>
  <si>
    <t>Emp per Establishment Start</t>
  </si>
  <si>
    <t>Emp per Establishment End</t>
  </si>
  <si>
    <t>Emp per Establishment % Change</t>
  </si>
  <si>
    <t>Employment</t>
  </si>
  <si>
    <t>Wages</t>
  </si>
  <si>
    <t>Avg Pay</t>
  </si>
  <si>
    <t>Establishments</t>
  </si>
  <si>
    <t>Employment per Establishment</t>
  </si>
  <si>
    <t>2014 Employment</t>
  </si>
  <si>
    <t>2019 Employment</t>
  </si>
  <si>
    <t>Pre-AI Annual Growth</t>
  </si>
  <si>
    <t>Gap</t>
  </si>
  <si>
    <t>Industries</t>
  </si>
  <si>
    <t>AI Period Avg Annual Growth</t>
  </si>
  <si>
    <t>Avg Gap %</t>
  </si>
  <si>
    <t>Total Actual 2024</t>
  </si>
  <si>
    <t>Total Expected 2024</t>
  </si>
  <si>
    <t>Admin Support, Management, Software</t>
  </si>
  <si>
    <t>Medical Equip., Schools</t>
  </si>
  <si>
    <t>Notes</t>
  </si>
  <si>
    <t>How to read this AI-period comparison.</t>
  </si>
  <si>
    <t>2014-2019. Used to estimate each industry's normal employment trend before COVID and the recent AI period.</t>
  </si>
  <si>
    <t>2020-2021. Kept separate so COVID effects are not confused with AI effects.</t>
  </si>
  <si>
    <t>2022-2024. Used as the main post-generative-AI comparison window.</t>
  </si>
  <si>
    <t>Projected from the 2014-2019 annualized employment growth trend.</t>
  </si>
  <si>
    <t>Trend gap</t>
  </si>
  <si>
    <t>Actual 2024 employment minus expected 2024 employment. Negative values mean employment is below the old trend.</t>
  </si>
  <si>
    <t>Caution</t>
  </si>
  <si>
    <t>This can show patterns consistent with AI impact, but it does not prove AI caused the change without more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</si>
</sst>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\$#,##0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475569"/>
      <name val="Calibri"/>
    </font>
    <font>
      <b/>
      <sz val="11"/>
      <color rgb="FFFFFFFF"/>
      <name val="Calibri"/>
    </font>
    <font>
      <b/>
      <sz val="11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 wrapText="1"/>
    </xf>
    <xf numFmtId="16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 Annualized Growth by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'AI Period Dashboard'!$C$4</c:f>
              <c:strCache>
                <c:ptCount val="1"/>
                <c:pt idx="0">
                  <c:v>Pre-COVID / Pre-AI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'AI Period Dashboard'!$A$5:$A$10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'AI Period Dashboard'!$C$5:$C$10</c:f>
              <c:numCache>
                <c:formatCode>0.0%</c:formatCode>
                <c:ptCount val="6"/>
                <c:pt idx="0">
                  <c:v>1.557460406080291E-2</c:v>
                </c:pt>
                <c:pt idx="1">
                  <c:v>0.10863292878103011</c:v>
                </c:pt>
                <c:pt idx="2">
                  <c:v>2.2585697923509059E-2</c:v>
                </c:pt>
                <c:pt idx="3">
                  <c:v>1.0663692263802821E-2</c:v>
                </c:pt>
                <c:pt idx="4">
                  <c:v>1.314120438734623E-2</c:v>
                </c:pt>
                <c:pt idx="5">
                  <c:v>7.999276616324047E-2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4-4300-AA5B-51C3DC7A416A}"/>
            </c:ext>
          </c:extLst>
        </c:ser>
        <c:ser>
          <c:idx val="1"/>
          <c:order val="1"/>
          <c:tx>
            <c:strRef>
              <c:f>'AI Period Dashboard'!$D$4</c:f>
              <c:strCache>
                <c:ptCount val="1"/>
                <c:pt idx="0">
                  <c:v>COVID Disruption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'AI Period Dashboard'!$A$5:$A$10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'AI Period Dashboard'!$D$5:$D$10</c:f>
              <c:numCache>
                <c:formatCode>0.0%</c:formatCode>
                <c:ptCount val="6"/>
                <c:pt idx="0">
                  <c:v>6.1831276714226613E-2</c:v>
                </c:pt>
                <c:pt idx="1">
                  <c:v>2.9971331201585901E-2</c:v>
                </c:pt>
                <c:pt idx="2">
                  <c:v>1.11700961084924E-2</c:v>
                </c:pt>
                <c:pt idx="3">
                  <c:v>2.3037703978056271E-2</c:v>
                </c:pt>
                <c:pt idx="4">
                  <c:v>1.1706615597189879E-2</c:v>
                </c:pt>
                <c:pt idx="5">
                  <c:v>0.1047665631831658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4-4300-AA5B-51C3DC7A416A}"/>
            </c:ext>
          </c:extLst>
        </c:ser>
        <c:ser>
          <c:idx val="2"/>
          <c:order val="2"/>
          <c:tx>
            <c:strRef>
              <c:f>'AI Period Dashboard'!$E$4</c:f>
              <c:strCache>
                <c:ptCount val="1"/>
                <c:pt idx="0">
                  <c:v>AI Period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'AI Period Dashboard'!$A$5:$A$10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'AI Period Dashboard'!$E$5:$E$10</c:f>
              <c:numCache>
                <c:formatCode>0.0%</c:formatCode>
                <c:ptCount val="6"/>
                <c:pt idx="0">
                  <c:v>-2.4805587221564451E-2</c:v>
                </c:pt>
                <c:pt idx="1">
                  <c:v>2.710479631421658E-2</c:v>
                </c:pt>
                <c:pt idx="2">
                  <c:v>2.1820342102031098E-2</c:v>
                </c:pt>
                <c:pt idx="3">
                  <c:v>-1.377021762050501E-2</c:v>
                </c:pt>
                <c:pt idx="4">
                  <c:v>2.0838328547310381E-2</c:v>
                </c:pt>
                <c:pt idx="5">
                  <c:v>3.4963217215844282E-3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4-4300-AA5B-51C3DC7A41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solidFill>
          <a:schemeClr val="lt1"/>
        </a:solidFill>
        <a:ln w="25400" cap="flat" cmpd="sng" algn="ctr">
          <a:noFill/>
          <a:prstDash val="solid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Expected 2024 vs Actual 2024 Employment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'AI Period Dashboard'!$F$4</c:f>
              <c:strCache>
                <c:ptCount val="1"/>
                <c:pt idx="0">
                  <c:v>Expected 2024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'AI Period Dashboard'!$A$5:$A$10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'AI Period Dashboard'!$F$5:$F$10</c:f>
              <c:numCache>
                <c:formatCode>#,##0</c:formatCode>
                <c:ptCount val="6"/>
                <c:pt idx="0">
                  <c:v>9626399.1930732783</c:v>
                </c:pt>
                <c:pt idx="1">
                  <c:v>12712023.576886309</c:v>
                </c:pt>
                <c:pt idx="2">
                  <c:v>2705476.4801915218</c:v>
                </c:pt>
                <c:pt idx="3">
                  <c:v>352997.85712125793</c:v>
                </c:pt>
                <c:pt idx="4">
                  <c:v>8442190.7112890035</c:v>
                </c:pt>
                <c:pt idx="5">
                  <c:v>670448.11030434549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F-418B-A21A-41593BCF6FF4}"/>
            </c:ext>
          </c:extLst>
        </c:ser>
        <c:ser>
          <c:idx val="1"/>
          <c:order val="1"/>
          <c:tx>
            <c:strRef>
              <c:f>'AI Period Dashboard'!$G$4</c:f>
              <c:strCache>
                <c:ptCount val="1"/>
                <c:pt idx="0">
                  <c:v>Actual 2024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'AI Period Dashboard'!$A$5:$A$10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'AI Period Dashboard'!$G$5:$G$10</c:f>
              <c:numCache>
                <c:formatCode>#,##0</c:formatCode>
                <c:ptCount val="6"/>
                <c:pt idx="0">
                  <c:v>8703103</c:v>
                </c:pt>
                <c:pt idx="1">
                  <c:v>8325157</c:v>
                </c:pt>
                <c:pt idx="2">
                  <c:v>2627947</c:v>
                </c:pt>
                <c:pt idx="3">
                  <c:v>337661</c:v>
                </c:pt>
                <c:pt idx="4">
                  <c:v>8230299</c:v>
                </c:pt>
                <c:pt idx="5">
                  <c:v>634691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1F-418B-A21A-41593BCF6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Actual vs Expected 2024 Employment Gap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'AI Period Dashboard'!$H$4</c:f>
              <c:strCache>
                <c:ptCount val="1"/>
                <c:pt idx="0">
                  <c:v>Actual vs Expected Gap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'AI Period Dashboard'!$A$5:$A$10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'AI Period Dashboard'!$H$5:$H$10</c:f>
              <c:numCache>
                <c:formatCode>#,##0</c:formatCode>
                <c:ptCount val="6"/>
                <c:pt idx="0">
                  <c:v>-923296.19307327829</c:v>
                </c:pt>
                <c:pt idx="1">
                  <c:v>-4386866.5768863112</c:v>
                </c:pt>
                <c:pt idx="2">
                  <c:v>-77529.480191521812</c:v>
                </c:pt>
                <c:pt idx="3">
                  <c:v>-15336.85712125793</c:v>
                </c:pt>
                <c:pt idx="4">
                  <c:v>-211891.71128900349</c:v>
                </c:pt>
                <c:pt idx="5">
                  <c:v>-35757.110304345493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6B-4093-925F-BCB901D94CA8}"/>
            </c:ext>
          </c:extLst>
        </c:ser>
        <c:ser>
          <c:idx val="1"/>
          <c:order val="1"/>
          <c:tx>
            <c:strRef>
              <c:f>'AI Period Dashboard'!$I$4</c:f>
              <c:strCache>
                <c:ptCount val="1"/>
                <c:pt idx="0">
                  <c:v>Gap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'AI Period Dashboard'!$A$5:$A$10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'AI Period Dashboard'!$I$5:$I$10</c:f>
              <c:numCache>
                <c:formatCode>0.0%</c:formatCode>
                <c:ptCount val="6"/>
                <c:pt idx="0">
                  <c:v>-9.5912934271169689E-2</c:v>
                </c:pt>
                <c:pt idx="1">
                  <c:v>-0.34509584963819212</c:v>
                </c:pt>
                <c:pt idx="2">
                  <c:v>-2.8656497574147628E-2</c:v>
                </c:pt>
                <c:pt idx="3">
                  <c:v>-4.3447451059142203E-2</c:v>
                </c:pt>
                <c:pt idx="4">
                  <c:v>-2.5099138190003131E-2</c:v>
                </c:pt>
                <c:pt idx="5">
                  <c:v>-5.3333150999730301E-2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6B-4093-925F-BCB901D94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Gap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Employment Trend by Industry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'AI Period Dashboard'!$B$50</c:f>
              <c:strCache>
                <c:ptCount val="1"/>
                <c:pt idx="0">
                  <c:v>Admin Support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'AI Period Dashboard'!$A$51:$A$61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'AI Period Dashboard'!$B$51:$B$61</c:f>
              <c:numCache>
                <c:formatCode>General</c:formatCode>
                <c:ptCount val="11"/>
                <c:pt idx="0">
                  <c:v>8247941</c:v>
                </c:pt>
                <c:pt idx="1">
                  <c:v>8453208</c:v>
                </c:pt>
                <c:pt idx="2">
                  <c:v>8615414</c:v>
                </c:pt>
                <c:pt idx="3">
                  <c:v>8712895</c:v>
                </c:pt>
                <c:pt idx="4">
                  <c:v>8881053</c:v>
                </c:pt>
                <c:pt idx="5">
                  <c:v>8910554</c:v>
                </c:pt>
                <c:pt idx="6">
                  <c:v>8176121</c:v>
                </c:pt>
                <c:pt idx="7">
                  <c:v>8681661</c:v>
                </c:pt>
                <c:pt idx="8">
                  <c:v>9151488</c:v>
                </c:pt>
                <c:pt idx="9">
                  <c:v>8936821</c:v>
                </c:pt>
                <c:pt idx="10">
                  <c:v>8703103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AF-46CE-8FAC-DBC91B70DD55}"/>
            </c:ext>
          </c:extLst>
        </c:ser>
        <c:ser>
          <c:idx val="1"/>
          <c:order val="1"/>
          <c:tx>
            <c:strRef>
              <c:f>'AI Period Dashboard'!$C$50</c:f>
              <c:strCache>
                <c:ptCount val="1"/>
                <c:pt idx="0">
                  <c:v>Construction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'AI Period Dashboard'!$A$51:$A$61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'AI Period Dashboard'!$C$51:$C$61</c:f>
              <c:numCache>
                <c:formatCode>General</c:formatCode>
                <c:ptCount val="11"/>
                <c:pt idx="0">
                  <c:v>4532491</c:v>
                </c:pt>
                <c:pt idx="1">
                  <c:v>6573541</c:v>
                </c:pt>
                <c:pt idx="2">
                  <c:v>6836930</c:v>
                </c:pt>
                <c:pt idx="3">
                  <c:v>7037930</c:v>
                </c:pt>
                <c:pt idx="4">
                  <c:v>7360957</c:v>
                </c:pt>
                <c:pt idx="5">
                  <c:v>7590595</c:v>
                </c:pt>
                <c:pt idx="6">
                  <c:v>7341082</c:v>
                </c:pt>
                <c:pt idx="7">
                  <c:v>7561104</c:v>
                </c:pt>
                <c:pt idx="8">
                  <c:v>7891561</c:v>
                </c:pt>
                <c:pt idx="9">
                  <c:v>8132056</c:v>
                </c:pt>
                <c:pt idx="10">
                  <c:v>8325157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AF-46CE-8FAC-DBC91B70DD55}"/>
            </c:ext>
          </c:extLst>
        </c:ser>
        <c:ser>
          <c:idx val="2"/>
          <c:order val="2"/>
          <c:tx>
            <c:strRef>
              <c:f>'AI Period Dashboard'!$D$50</c:f>
              <c:strCache>
                <c:ptCount val="1"/>
                <c:pt idx="0">
                  <c:v>Management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'AI Period Dashboard'!$A$51:$A$61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'AI Period Dashboard'!$D$51:$D$61</c:f>
              <c:numCache>
                <c:formatCode>General</c:formatCode>
                <c:ptCount val="11"/>
                <c:pt idx="0">
                  <c:v>2163947</c:v>
                </c:pt>
                <c:pt idx="1">
                  <c:v>2207899</c:v>
                </c:pt>
                <c:pt idx="2">
                  <c:v>2241676</c:v>
                </c:pt>
                <c:pt idx="3">
                  <c:v>2289006</c:v>
                </c:pt>
                <c:pt idx="4">
                  <c:v>2359907</c:v>
                </c:pt>
                <c:pt idx="5">
                  <c:v>2419609</c:v>
                </c:pt>
                <c:pt idx="6">
                  <c:v>2329971</c:v>
                </c:pt>
                <c:pt idx="7">
                  <c:v>2355997</c:v>
                </c:pt>
                <c:pt idx="8">
                  <c:v>2516909</c:v>
                </c:pt>
                <c:pt idx="9">
                  <c:v>2564739</c:v>
                </c:pt>
                <c:pt idx="10">
                  <c:v>2627947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AF-46CE-8FAC-DBC91B70DD55}"/>
            </c:ext>
          </c:extLst>
        </c:ser>
        <c:ser>
          <c:idx val="3"/>
          <c:order val="3"/>
          <c:tx>
            <c:strRef>
              <c:f>'AI Period Dashboard'!$E$50</c:f>
              <c:strCache>
                <c:ptCount val="1"/>
                <c:pt idx="0">
                  <c:v>Medical Equip.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'AI Period Dashboard'!$A$51:$A$61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'AI Period Dashboard'!$E$51:$E$61</c:f>
              <c:numCache>
                <c:formatCode>General</c:formatCode>
                <c:ptCount val="11"/>
                <c:pt idx="0">
                  <c:v>317472</c:v>
                </c:pt>
                <c:pt idx="1">
                  <c:v>316996</c:v>
                </c:pt>
                <c:pt idx="2">
                  <c:v>316441</c:v>
                </c:pt>
                <c:pt idx="3">
                  <c:v>319185</c:v>
                </c:pt>
                <c:pt idx="4">
                  <c:v>327430</c:v>
                </c:pt>
                <c:pt idx="5">
                  <c:v>334764</c:v>
                </c:pt>
                <c:pt idx="6">
                  <c:v>322645</c:v>
                </c:pt>
                <c:pt idx="7">
                  <c:v>330078</c:v>
                </c:pt>
                <c:pt idx="8">
                  <c:v>347156</c:v>
                </c:pt>
                <c:pt idx="9">
                  <c:v>344648</c:v>
                </c:pt>
                <c:pt idx="10">
                  <c:v>337661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AF-46CE-8FAC-DBC91B70DD55}"/>
            </c:ext>
          </c:extLst>
        </c:ser>
        <c:ser>
          <c:idx val="4"/>
          <c:order val="4"/>
          <c:tx>
            <c:strRef>
              <c:f>'AI Period Dashboard'!$F$50</c:f>
              <c:strCache>
                <c:ptCount val="1"/>
                <c:pt idx="0">
                  <c:v>Schools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'AI Period Dashboard'!$A$51:$A$61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'AI Period Dashboard'!$F$51:$F$61</c:f>
              <c:numCache>
                <c:formatCode>General</c:formatCode>
                <c:ptCount val="11"/>
                <c:pt idx="0">
                  <c:v>7408928</c:v>
                </c:pt>
                <c:pt idx="1">
                  <c:v>7574756</c:v>
                </c:pt>
                <c:pt idx="2">
                  <c:v>7721317</c:v>
                </c:pt>
                <c:pt idx="3">
                  <c:v>7784616</c:v>
                </c:pt>
                <c:pt idx="4">
                  <c:v>7853822</c:v>
                </c:pt>
                <c:pt idx="5">
                  <c:v>7908703</c:v>
                </c:pt>
                <c:pt idx="6">
                  <c:v>7514469</c:v>
                </c:pt>
                <c:pt idx="7">
                  <c:v>7602438</c:v>
                </c:pt>
                <c:pt idx="8">
                  <c:v>7897719</c:v>
                </c:pt>
                <c:pt idx="9">
                  <c:v>8084538</c:v>
                </c:pt>
                <c:pt idx="10">
                  <c:v>8230299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2AF-46CE-8FAC-DBC91B70DD55}"/>
            </c:ext>
          </c:extLst>
        </c:ser>
        <c:ser>
          <c:idx val="5"/>
          <c:order val="5"/>
          <c:tx>
            <c:strRef>
              <c:f>'AI Period Dashboard'!$G$50</c:f>
              <c:strCache>
                <c:ptCount val="1"/>
                <c:pt idx="0">
                  <c:v>Software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'AI Period Dashboard'!$A$51:$A$61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'AI Period Dashboard'!$G$51:$G$61</c:f>
              <c:numCache>
                <c:formatCode>General</c:formatCode>
                <c:ptCount val="11"/>
                <c:pt idx="0">
                  <c:v>310568</c:v>
                </c:pt>
                <c:pt idx="1">
                  <c:v>331848</c:v>
                </c:pt>
                <c:pt idx="2">
                  <c:v>353849</c:v>
                </c:pt>
                <c:pt idx="3">
                  <c:v>376220</c:v>
                </c:pt>
                <c:pt idx="4">
                  <c:v>407702</c:v>
                </c:pt>
                <c:pt idx="5">
                  <c:v>456311</c:v>
                </c:pt>
                <c:pt idx="6">
                  <c:v>500885</c:v>
                </c:pt>
                <c:pt idx="7">
                  <c:v>553361</c:v>
                </c:pt>
                <c:pt idx="8">
                  <c:v>630276</c:v>
                </c:pt>
                <c:pt idx="9">
                  <c:v>646423</c:v>
                </c:pt>
                <c:pt idx="10">
                  <c:v>634691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2AF-46CE-8FAC-DBC91B70D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Employment Annualized Growth by Row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'Period Metrics'!$J$1</c:f>
              <c:strCache>
                <c:ptCount val="1"/>
                <c:pt idx="0">
                  <c:v>Employment Annualized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'Period Metrics'!$A$2:$A$19</c:f>
              <c:strCache>
                <c:ptCount val="18"/>
                <c:pt idx="0">
                  <c:v>Administration Support Services</c:v>
                </c:pt>
                <c:pt idx="1">
                  <c:v>Administration Support Services</c:v>
                </c:pt>
                <c:pt idx="2">
                  <c:v>Administration Support Services</c:v>
                </c:pt>
                <c:pt idx="3">
                  <c:v>Construction</c:v>
                </c:pt>
                <c:pt idx="4">
                  <c:v>Construction</c:v>
                </c:pt>
                <c:pt idx="5">
                  <c:v>Construction</c:v>
                </c:pt>
                <c:pt idx="6">
                  <c:v>Management of Companies</c:v>
                </c:pt>
                <c:pt idx="7">
                  <c:v>Management of Companies</c:v>
                </c:pt>
                <c:pt idx="8">
                  <c:v>Management of Companies</c:v>
                </c:pt>
                <c:pt idx="9">
                  <c:v>Medical Equipment</c:v>
                </c:pt>
                <c:pt idx="10">
                  <c:v>Medical Equipment</c:v>
                </c:pt>
                <c:pt idx="11">
                  <c:v>Medical Equipment</c:v>
                </c:pt>
                <c:pt idx="12">
                  <c:v>Schools</c:v>
                </c:pt>
                <c:pt idx="13">
                  <c:v>Schools</c:v>
                </c:pt>
                <c:pt idx="14">
                  <c:v>Schools</c:v>
                </c:pt>
                <c:pt idx="15">
                  <c:v>Software Publishers</c:v>
                </c:pt>
                <c:pt idx="16">
                  <c:v>Software Publishers</c:v>
                </c:pt>
                <c:pt idx="17">
                  <c:v>Software Publishers</c:v>
                </c:pt>
              </c:strCache>
            </c:strRef>
          </c:cat>
          <c:val>
            <c:numRef>
              <c:f>'Period Metrics'!$J$2:$J$19</c:f>
              <c:numCache>
                <c:formatCode>0.0%</c:formatCode>
                <c:ptCount val="18"/>
                <c:pt idx="0">
                  <c:v>1.557460406080291E-2</c:v>
                </c:pt>
                <c:pt idx="1">
                  <c:v>6.1831276714226613E-2</c:v>
                </c:pt>
                <c:pt idx="2">
                  <c:v>-2.4805587221564451E-2</c:v>
                </c:pt>
                <c:pt idx="3">
                  <c:v>0.10863292878103011</c:v>
                </c:pt>
                <c:pt idx="4">
                  <c:v>2.9971331201585901E-2</c:v>
                </c:pt>
                <c:pt idx="5">
                  <c:v>2.710479631421658E-2</c:v>
                </c:pt>
                <c:pt idx="6">
                  <c:v>2.2585697923509059E-2</c:v>
                </c:pt>
                <c:pt idx="7">
                  <c:v>1.11700961084924E-2</c:v>
                </c:pt>
                <c:pt idx="8">
                  <c:v>2.1820342102031098E-2</c:v>
                </c:pt>
                <c:pt idx="9">
                  <c:v>1.0663692263802821E-2</c:v>
                </c:pt>
                <c:pt idx="10">
                  <c:v>2.3037703978056271E-2</c:v>
                </c:pt>
                <c:pt idx="11">
                  <c:v>-1.377021762050501E-2</c:v>
                </c:pt>
                <c:pt idx="12">
                  <c:v>1.314120438734623E-2</c:v>
                </c:pt>
                <c:pt idx="13">
                  <c:v>1.1706615597189879E-2</c:v>
                </c:pt>
                <c:pt idx="14">
                  <c:v>2.0838328547310381E-2</c:v>
                </c:pt>
                <c:pt idx="15">
                  <c:v>7.999276616324047E-2</c:v>
                </c:pt>
                <c:pt idx="16">
                  <c:v>0.1047665631831658</c:v>
                </c:pt>
                <c:pt idx="17">
                  <c:v>3.4963217215844282E-3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2-4BBF-93FD-F0542D3DE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Annualized Growth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Excpected Growth</a:t>
            </a:r>
            <a:r>
              <a:rPr lang="en-US" baseline="0"/>
              <a:t> v.s Actual Growth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'Expected vs Actual'!$F$1</c:f>
              <c:strCache>
                <c:ptCount val="1"/>
                <c:pt idx="0">
                  <c:v>Expected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'Expected vs Actual'!$A$2:$A$7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'Expected vs Actual'!$F$2:$F$7</c:f>
              <c:numCache>
                <c:formatCode>#,##0</c:formatCode>
                <c:ptCount val="6"/>
                <c:pt idx="0">
                  <c:v>9626399.1930732783</c:v>
                </c:pt>
                <c:pt idx="1">
                  <c:v>12712023.576886309</c:v>
                </c:pt>
                <c:pt idx="2">
                  <c:v>2705476.4801915218</c:v>
                </c:pt>
                <c:pt idx="3">
                  <c:v>352997.85712125793</c:v>
                </c:pt>
                <c:pt idx="4">
                  <c:v>8442190.7112890035</c:v>
                </c:pt>
                <c:pt idx="5">
                  <c:v>670448.11030434549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F2-47E5-A9F3-145D724AEB97}"/>
            </c:ext>
          </c:extLst>
        </c:ser>
        <c:ser>
          <c:idx val="1"/>
          <c:order val="1"/>
          <c:tx>
            <c:strRef>
              <c:f>'Expected vs Actual'!$G$1</c:f>
              <c:strCache>
                <c:ptCount val="1"/>
                <c:pt idx="0">
                  <c:v>Actual 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'Expected vs Actual'!$A$2:$A$7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'Expected vs Actual'!$G$2:$G$7</c:f>
              <c:numCache>
                <c:formatCode>#,##0</c:formatCode>
                <c:ptCount val="6"/>
                <c:pt idx="0">
                  <c:v>8703103</c:v>
                </c:pt>
                <c:pt idx="1">
                  <c:v>8325157</c:v>
                </c:pt>
                <c:pt idx="2">
                  <c:v>2627947</c:v>
                </c:pt>
                <c:pt idx="3">
                  <c:v>337661</c:v>
                </c:pt>
                <c:pt idx="4">
                  <c:v>8230299</c:v>
                </c:pt>
                <c:pt idx="5">
                  <c:v>634691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F2-47E5-A9F3-145D724AEB9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Actual vs Expected Employment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'Expected vs Actual'!$H$1</c:f>
              <c:strCache>
                <c:ptCount val="1"/>
                <c:pt idx="0">
                  <c:v>Gap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'Expected vs Actual'!$A$2:$A$7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'Expected vs Actual'!$H$2:$H$7</c:f>
              <c:numCache>
                <c:formatCode>#,##0</c:formatCode>
                <c:ptCount val="6"/>
                <c:pt idx="0">
                  <c:v>-923296.19307327829</c:v>
                </c:pt>
                <c:pt idx="1">
                  <c:v>-4386866.5768863112</c:v>
                </c:pt>
                <c:pt idx="2">
                  <c:v>-77529.480191521812</c:v>
                </c:pt>
                <c:pt idx="3">
                  <c:v>-15336.85712125793</c:v>
                </c:pt>
                <c:pt idx="4">
                  <c:v>-211891.71128900349</c:v>
                </c:pt>
                <c:pt idx="5">
                  <c:v>-35757.110304345493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B-4483-9275-A98261D247A6}"/>
            </c:ext>
          </c:extLst>
        </c:ser>
        <c:ser>
          <c:idx val="1"/>
          <c:order val="1"/>
          <c:tx>
            <c:strRef>
              <c:f>'Expected vs Actual'!$I$1</c:f>
              <c:strCache>
                <c:ptCount val="1"/>
                <c:pt idx="0">
                  <c:v>Gap 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'Expected vs Actual'!$A$2:$A$7</c:f>
              <c:strCache>
                <c:ptCount val="6"/>
                <c:pt idx="0">
                  <c:v>Administration Support Services</c:v>
                </c:pt>
                <c:pt idx="1">
                  <c:v>Construction</c:v>
                </c:pt>
                <c:pt idx="2">
                  <c:v>Management of Companies</c:v>
                </c:pt>
                <c:pt idx="3">
                  <c:v>Medical Equipment</c:v>
                </c:pt>
                <c:pt idx="4">
                  <c:v>Schools</c:v>
                </c:pt>
                <c:pt idx="5">
                  <c:v>Software Publishers</c:v>
                </c:pt>
              </c:strCache>
            </c:strRef>
          </c:cat>
          <c:val>
            <c:numRef>
              <c:f>'Expected vs Actual'!$I$2:$I$7</c:f>
              <c:numCache>
                <c:formatCode>0.0%</c:formatCode>
                <c:ptCount val="6"/>
                <c:pt idx="0">
                  <c:v>-9.5912934271169689E-2</c:v>
                </c:pt>
                <c:pt idx="1">
                  <c:v>-0.34509584963819212</c:v>
                </c:pt>
                <c:pt idx="2">
                  <c:v>-2.8656497574147628E-2</c:v>
                </c:pt>
                <c:pt idx="3">
                  <c:v>-4.3447451059142203E-2</c:v>
                </c:pt>
                <c:pt idx="4">
                  <c:v>-2.5099138190003131E-2</c:v>
                </c:pt>
                <c:pt idx="5">
                  <c:v>-5.3333150999730301E-2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B-4483-9275-A98261D24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AI Period Growth and Trend Gap by Exposure Group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'AI Exposure Groups'!$C$1</c:f>
              <c:strCache>
                <c:ptCount val="1"/>
                <c:pt idx="0">
                  <c:v>AI Period Avg Annual Growth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'AI Exposure Groups'!$A$2:$A$4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'AI Exposure Groups'!$C$2:$C$4</c:f>
              <c:numCache>
                <c:formatCode>0.0%</c:formatCode>
                <c:ptCount val="3"/>
                <c:pt idx="0">
                  <c:v>1.7035886735035829E-4</c:v>
                </c:pt>
                <c:pt idx="1">
                  <c:v>3.5340554634026859E-3</c:v>
                </c:pt>
                <c:pt idx="2">
                  <c:v>2.710479631421658E-2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2-4B5D-9201-E762D2275E8A}"/>
            </c:ext>
          </c:extLst>
        </c:ser>
        <c:ser>
          <c:idx val="1"/>
          <c:order val="1"/>
          <c:tx>
            <c:strRef>
              <c:f>'AI Exposure Groups'!$D$1</c:f>
              <c:strCache>
                <c:ptCount val="1"/>
                <c:pt idx="0">
                  <c:v>Avg Gap %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'AI Exposure Groups'!$A$2:$A$4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'AI Exposure Groups'!$D$2:$D$4</c:f>
              <c:numCache>
                <c:formatCode>0.0%</c:formatCode>
                <c:ptCount val="3"/>
                <c:pt idx="0">
                  <c:v>-5.9300860948349209E-2</c:v>
                </c:pt>
                <c:pt idx="1">
                  <c:v>-3.4273294624572667E-2</c:v>
                </c:pt>
                <c:pt idx="2">
                  <c:v>-0.34509584963819212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22-4B5D-9201-E762D2275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Group Total: Actual vs Expected 2024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'AI Exposure Groups'!$E$1</c:f>
              <c:strCache>
                <c:ptCount val="1"/>
                <c:pt idx="0">
                  <c:v>Total Actual 2024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'AI Exposure Groups'!$A$2:$A$4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'AI Exposure Groups'!$E$2:$E$4</c:f>
              <c:numCache>
                <c:formatCode>#,##0</c:formatCode>
                <c:ptCount val="3"/>
                <c:pt idx="0">
                  <c:v>11965741</c:v>
                </c:pt>
                <c:pt idx="1">
                  <c:v>8567960</c:v>
                </c:pt>
                <c:pt idx="2">
                  <c:v>8325157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1-4B72-BC71-4C8688F67FFF}"/>
            </c:ext>
          </c:extLst>
        </c:ser>
        <c:ser>
          <c:idx val="1"/>
          <c:order val="1"/>
          <c:tx>
            <c:strRef>
              <c:f>'AI Exposure Groups'!$F$1</c:f>
              <c:strCache>
                <c:ptCount val="1"/>
                <c:pt idx="0">
                  <c:v>Total Expected 2024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'AI Exposure Groups'!$A$2:$A$4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'AI Exposure Groups'!$F$2:$F$4</c:f>
              <c:numCache>
                <c:formatCode>#,##0</c:formatCode>
                <c:ptCount val="3"/>
                <c:pt idx="0">
                  <c:v>13002323.78356915</c:v>
                </c:pt>
                <c:pt idx="1">
                  <c:v>8795188.5684102606</c:v>
                </c:pt>
                <c:pt idx="2">
                  <c:v>12712023.576886309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61-4B72-BC71-4C8688F67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Employment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1000125</xdr:colOff>
      <xdr:row>20</xdr:row>
      <xdr:rowOff>38100</xdr:rowOff>
    </xdr:from>
    <xdr:ext cx="7645399" cy="3981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542925</xdr:colOff>
      <xdr:row>2</xdr:row>
      <xdr:rowOff>133350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33</xdr:row>
      <xdr:rowOff>19050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1435100</xdr:colOff>
      <xdr:row>46</xdr:row>
      <xdr:rowOff>34925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1200150</xdr:colOff>
      <xdr:row>13</xdr:row>
      <xdr:rowOff>19050</xdr:rowOff>
    </xdr:from>
    <xdr:ext cx="6819900" cy="3676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10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PeriodDashboard" displayName="AIPeriodDashboard" ref="A4:I10">
  <autoFilter ref="A4:I10" xr:uid="{00000000-0009-0000-0100-000001000000}"/>
  <tableColumns count="9">
    <tableColumn id="1" xr3:uid="{00000000-0010-0000-0000-000001000000}" name="Industry"/>
    <tableColumn id="2" xr3:uid="{00000000-0010-0000-0000-000002000000}" name="AI Exposure"/>
    <tableColumn id="3" xr3:uid="{00000000-0010-0000-0000-000003000000}" name="Pre-COVID / Pre-AI"/>
    <tableColumn id="4" xr3:uid="{00000000-0010-0000-0000-000004000000}" name="COVID Disruption"/>
    <tableColumn id="5" xr3:uid="{00000000-0010-0000-0000-000005000000}" name="AI Period"/>
    <tableColumn id="6" xr3:uid="{00000000-0010-0000-0000-000006000000}" name="Expected 2024"/>
    <tableColumn id="7" xr3:uid="{00000000-0010-0000-0000-000007000000}" name="Actual 2024"/>
    <tableColumn id="8" xr3:uid="{00000000-0010-0000-0000-000008000000}" name="Actual vs Expected Gap"/>
    <tableColumn id="9" xr3:uid="{00000000-0010-0000-0000-000009000000}" name="Gap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riodMetrics" displayName="PeriodMetrics" ref="A1:P19">
  <autoFilter ref="A1:P19" xr:uid="{00000000-0009-0000-0100-000002000000}"/>
  <tableColumns count="16">
    <tableColumn id="1" xr3:uid="{00000000-0010-0000-0100-000001000000}" name="Industry"/>
    <tableColumn id="2" xr3:uid="{00000000-0010-0000-0100-000002000000}" name="AI Exposure"/>
    <tableColumn id="3" xr3:uid="{00000000-0010-0000-0100-000003000000}" name="Period"/>
    <tableColumn id="4" xr3:uid="{00000000-0010-0000-0100-000004000000}" name="Start Year"/>
    <tableColumn id="5" xr3:uid="{00000000-0010-0000-0100-000005000000}" name="End Year"/>
    <tableColumn id="6" xr3:uid="{00000000-0010-0000-0100-000006000000}" name="Employment Start"/>
    <tableColumn id="7" xr3:uid="{00000000-0010-0000-0100-000007000000}" name="Employment End"/>
    <tableColumn id="8" xr3:uid="{00000000-0010-0000-0100-000008000000}" name="Employment Change"/>
    <tableColumn id="9" xr3:uid="{00000000-0010-0000-0100-000009000000}" name="Employment % Change"/>
    <tableColumn id="10" xr3:uid="{00000000-0010-0000-0100-00000A000000}" name="Employment Annualized"/>
    <tableColumn id="11" xr3:uid="{00000000-0010-0000-0100-00000B000000}" name="Wages % Change"/>
    <tableColumn id="12" xr3:uid="{00000000-0010-0000-0100-00000C000000}" name="Avg Pay % Change"/>
    <tableColumn id="13" xr3:uid="{00000000-0010-0000-0100-00000D000000}" name="Establishments % Change"/>
    <tableColumn id="14" xr3:uid="{00000000-0010-0000-0100-00000E000000}" name="Emp per Establishment Start"/>
    <tableColumn id="15" xr3:uid="{00000000-0010-0000-0100-00000F000000}" name="Emp per Establishment End"/>
    <tableColumn id="16" xr3:uid="{00000000-0010-0000-0100-000010000000}" name="Emp per Establishment % Chan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nnualDetail" displayName="AnnualDetail" ref="A1:G67">
  <autoFilter ref="A1:G67" xr:uid="{00000000-0009-0000-0100-000003000000}"/>
  <tableColumns count="7">
    <tableColumn id="1" xr3:uid="{00000000-0010-0000-0200-000001000000}" name="Industry"/>
    <tableColumn id="2" xr3:uid="{00000000-0010-0000-0200-000002000000}" name="Year"/>
    <tableColumn id="3" xr3:uid="{00000000-0010-0000-0200-000003000000}" name="Employment"/>
    <tableColumn id="4" xr3:uid="{00000000-0010-0000-0200-000004000000}" name="Wages"/>
    <tableColumn id="5" xr3:uid="{00000000-0010-0000-0200-000005000000}" name="Avg Pay"/>
    <tableColumn id="6" xr3:uid="{00000000-0010-0000-0200-000006000000}" name="Establishments"/>
    <tableColumn id="7" xr3:uid="{00000000-0010-0000-0200-000007000000}" name="Employment per Establish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pectedVsActual" displayName="ExpectedVsActual" ref="A1:I7">
  <autoFilter ref="A1:I7" xr:uid="{00000000-0009-0000-0100-000004000000}"/>
  <tableColumns count="9">
    <tableColumn id="1" xr3:uid="{00000000-0010-0000-0300-000001000000}" name="Industry"/>
    <tableColumn id="2" xr3:uid="{00000000-0010-0000-0300-000002000000}" name="AI Exposure"/>
    <tableColumn id="3" xr3:uid="{00000000-0010-0000-0300-000003000000}" name="2014 Employment"/>
    <tableColumn id="4" xr3:uid="{00000000-0010-0000-0300-000004000000}" name="2019 Employment"/>
    <tableColumn id="5" xr3:uid="{00000000-0010-0000-0300-000005000000}" name="Pre-AI Annual Growth"/>
    <tableColumn id="6" xr3:uid="{00000000-0010-0000-0300-000006000000}" name="Expected 2024"/>
    <tableColumn id="7" xr3:uid="{00000000-0010-0000-0300-000007000000}" name="Actual 2024"/>
    <tableColumn id="8" xr3:uid="{00000000-0010-0000-0300-000008000000}" name="Gap"/>
    <tableColumn id="9" xr3:uid="{00000000-0010-0000-0300-000009000000}" name="Gap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IExposureGroups" displayName="AIExposureGroups" ref="A1:F4">
  <autoFilter ref="A1:F4" xr:uid="{00000000-0009-0000-0100-000005000000}"/>
  <tableColumns count="6">
    <tableColumn id="1" xr3:uid="{00000000-0010-0000-0400-000001000000}" name="AI Exposure"/>
    <tableColumn id="2" xr3:uid="{00000000-0010-0000-0400-000002000000}" name="Industries"/>
    <tableColumn id="3" xr3:uid="{00000000-0010-0000-0400-000003000000}" name="AI Period Avg Annual Growth"/>
    <tableColumn id="4" xr3:uid="{00000000-0010-0000-0400-000004000000}" name="Avg Gap %"/>
    <tableColumn id="5" xr3:uid="{00000000-0010-0000-0400-000005000000}" name="Total Actual 2024"/>
    <tableColumn id="6" xr3:uid="{00000000-0010-0000-0400-000006000000}" name="Total Expected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showGridLines="0" tabSelected="1" zoomScale="60" zoomScaleNormal="60" workbookViewId="0">
      <selection activeCell="O32" sqref="O32"/>
    </sheetView>
  </sheetViews>
  <sheetFormatPr defaultRowHeight="14.5" x14ac:dyDescent="0.35"/>
  <cols>
    <col min="1" max="1" width="24" customWidth="1"/>
    <col min="2" max="2" width="15" customWidth="1"/>
    <col min="3" max="4" width="22" customWidth="1"/>
    <col min="5" max="5" width="23" customWidth="1"/>
    <col min="6" max="6" width="20" customWidth="1"/>
    <col min="7" max="7" width="13" customWidth="1"/>
    <col min="8" max="8" width="24" customWidth="1"/>
    <col min="9" max="9" width="23" customWidth="1"/>
  </cols>
  <sheetData>
    <row r="1" spans="1:9" ht="23.5" x14ac:dyDescent="0.35">
      <c r="A1" s="11" t="s">
        <v>0</v>
      </c>
      <c r="B1" s="10"/>
      <c r="C1" s="10"/>
      <c r="D1" s="10"/>
      <c r="E1" s="10"/>
      <c r="F1" s="10"/>
      <c r="G1" s="10"/>
      <c r="H1" s="10"/>
      <c r="I1" s="1"/>
    </row>
    <row r="2" spans="1:9" x14ac:dyDescent="0.35">
      <c r="A2" s="9" t="s">
        <v>1</v>
      </c>
      <c r="B2" s="10"/>
      <c r="C2" s="10"/>
      <c r="D2" s="10"/>
      <c r="E2" s="10"/>
      <c r="F2" s="10"/>
      <c r="G2" s="10"/>
      <c r="H2" s="10"/>
      <c r="I2" s="1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x14ac:dyDescent="0.35">
      <c r="A5" s="1" t="s">
        <v>11</v>
      </c>
      <c r="B5" s="1" t="s">
        <v>12</v>
      </c>
      <c r="C5" s="3">
        <v>1.557460406080291E-2</v>
      </c>
      <c r="D5" s="3">
        <v>6.1831276714226613E-2</v>
      </c>
      <c r="E5" s="3">
        <v>-2.4805587221564451E-2</v>
      </c>
      <c r="F5" s="4">
        <v>9626399.1930732783</v>
      </c>
      <c r="G5" s="4">
        <v>8703103</v>
      </c>
      <c r="H5" s="4">
        <v>-923296.19307327829</v>
      </c>
      <c r="I5" s="3">
        <v>-9.5912934271169689E-2</v>
      </c>
    </row>
    <row r="6" spans="1:9" x14ac:dyDescent="0.35">
      <c r="A6" s="1" t="s">
        <v>13</v>
      </c>
      <c r="B6" s="1" t="s">
        <v>14</v>
      </c>
      <c r="C6" s="3">
        <v>0.10863292878103011</v>
      </c>
      <c r="D6" s="3">
        <v>2.9971331201585901E-2</v>
      </c>
      <c r="E6" s="3">
        <v>2.710479631421658E-2</v>
      </c>
      <c r="F6" s="4">
        <v>12712023.576886309</v>
      </c>
      <c r="G6" s="4">
        <v>8325157</v>
      </c>
      <c r="H6" s="4">
        <v>-4386866.5768863112</v>
      </c>
      <c r="I6" s="3">
        <v>-0.34509584963819212</v>
      </c>
    </row>
    <row r="7" spans="1:9" x14ac:dyDescent="0.35">
      <c r="A7" s="1" t="s">
        <v>15</v>
      </c>
      <c r="B7" s="1" t="s">
        <v>12</v>
      </c>
      <c r="C7" s="3">
        <v>2.2585697923509059E-2</v>
      </c>
      <c r="D7" s="3">
        <v>1.11700961084924E-2</v>
      </c>
      <c r="E7" s="3">
        <v>2.1820342102031098E-2</v>
      </c>
      <c r="F7" s="4">
        <v>2705476.4801915218</v>
      </c>
      <c r="G7" s="4">
        <v>2627947</v>
      </c>
      <c r="H7" s="4">
        <v>-77529.480191521812</v>
      </c>
      <c r="I7" s="3">
        <v>-2.8656497574147628E-2</v>
      </c>
    </row>
    <row r="8" spans="1:9" x14ac:dyDescent="0.35">
      <c r="A8" s="1" t="s">
        <v>16</v>
      </c>
      <c r="B8" s="1" t="s">
        <v>17</v>
      </c>
      <c r="C8" s="3">
        <v>1.0663692263802821E-2</v>
      </c>
      <c r="D8" s="3">
        <v>2.3037703978056271E-2</v>
      </c>
      <c r="E8" s="3">
        <v>-1.377021762050501E-2</v>
      </c>
      <c r="F8" s="4">
        <v>352997.85712125793</v>
      </c>
      <c r="G8" s="4">
        <v>337661</v>
      </c>
      <c r="H8" s="4">
        <v>-15336.85712125793</v>
      </c>
      <c r="I8" s="3">
        <v>-4.3447451059142203E-2</v>
      </c>
    </row>
    <row r="9" spans="1:9" x14ac:dyDescent="0.35">
      <c r="A9" s="1" t="s">
        <v>18</v>
      </c>
      <c r="B9" s="1" t="s">
        <v>17</v>
      </c>
      <c r="C9" s="3">
        <v>1.314120438734623E-2</v>
      </c>
      <c r="D9" s="3">
        <v>1.1706615597189879E-2</v>
      </c>
      <c r="E9" s="3">
        <v>2.0838328547310381E-2</v>
      </c>
      <c r="F9" s="4">
        <v>8442190.7112890035</v>
      </c>
      <c r="G9" s="4">
        <v>8230299</v>
      </c>
      <c r="H9" s="4">
        <v>-211891.71128900349</v>
      </c>
      <c r="I9" s="3">
        <v>-2.5099138190003131E-2</v>
      </c>
    </row>
    <row r="10" spans="1:9" x14ac:dyDescent="0.35">
      <c r="A10" s="1" t="s">
        <v>19</v>
      </c>
      <c r="B10" s="1" t="s">
        <v>12</v>
      </c>
      <c r="C10" s="3">
        <v>7.999276616324047E-2</v>
      </c>
      <c r="D10" s="3">
        <v>0.1047665631831658</v>
      </c>
      <c r="E10" s="3">
        <v>3.4963217215844282E-3</v>
      </c>
      <c r="F10" s="4">
        <v>670448.11030434549</v>
      </c>
      <c r="G10" s="4">
        <v>634691</v>
      </c>
      <c r="H10" s="4">
        <v>-35757.110304345493</v>
      </c>
      <c r="I10" s="3">
        <v>-5.3333150999730301E-2</v>
      </c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5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5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5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5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5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5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5">
      <c r="A50" s="2" t="s">
        <v>20</v>
      </c>
      <c r="B50" s="2" t="s">
        <v>21</v>
      </c>
      <c r="C50" s="2" t="s">
        <v>13</v>
      </c>
      <c r="D50" s="2" t="s">
        <v>22</v>
      </c>
      <c r="E50" s="2" t="s">
        <v>23</v>
      </c>
      <c r="F50" s="2" t="s">
        <v>18</v>
      </c>
      <c r="G50" s="2" t="s">
        <v>24</v>
      </c>
      <c r="H50" s="1"/>
      <c r="I50" s="1"/>
    </row>
    <row r="51" spans="1:9" x14ac:dyDescent="0.35">
      <c r="A51" s="1">
        <v>2014</v>
      </c>
      <c r="B51" s="1">
        <v>8247941</v>
      </c>
      <c r="C51" s="1">
        <v>4532491</v>
      </c>
      <c r="D51" s="1">
        <v>2163947</v>
      </c>
      <c r="E51" s="1">
        <v>317472</v>
      </c>
      <c r="F51" s="1">
        <v>7408928</v>
      </c>
      <c r="G51" s="1">
        <v>310568</v>
      </c>
      <c r="H51" s="1"/>
      <c r="I51" s="1"/>
    </row>
    <row r="52" spans="1:9" x14ac:dyDescent="0.35">
      <c r="A52" s="1">
        <v>2015</v>
      </c>
      <c r="B52" s="1">
        <v>8453208</v>
      </c>
      <c r="C52" s="1">
        <v>6573541</v>
      </c>
      <c r="D52" s="1">
        <v>2207899</v>
      </c>
      <c r="E52" s="1">
        <v>316996</v>
      </c>
      <c r="F52" s="1">
        <v>7574756</v>
      </c>
      <c r="G52" s="1">
        <v>331848</v>
      </c>
      <c r="H52" s="1"/>
      <c r="I52" s="1"/>
    </row>
    <row r="53" spans="1:9" x14ac:dyDescent="0.35">
      <c r="A53" s="1">
        <v>2016</v>
      </c>
      <c r="B53" s="1">
        <v>8615414</v>
      </c>
      <c r="C53" s="1">
        <v>6836930</v>
      </c>
      <c r="D53" s="1">
        <v>2241676</v>
      </c>
      <c r="E53" s="1">
        <v>316441</v>
      </c>
      <c r="F53" s="1">
        <v>7721317</v>
      </c>
      <c r="G53" s="1">
        <v>353849</v>
      </c>
      <c r="H53" s="1"/>
      <c r="I53" s="1"/>
    </row>
    <row r="54" spans="1:9" x14ac:dyDescent="0.35">
      <c r="A54" s="1">
        <v>2017</v>
      </c>
      <c r="B54" s="1">
        <v>8712895</v>
      </c>
      <c r="C54" s="1">
        <v>7037930</v>
      </c>
      <c r="D54" s="1">
        <v>2289006</v>
      </c>
      <c r="E54" s="1">
        <v>319185</v>
      </c>
      <c r="F54" s="1">
        <v>7784616</v>
      </c>
      <c r="G54" s="1">
        <v>376220</v>
      </c>
      <c r="H54" s="1"/>
      <c r="I54" s="1"/>
    </row>
    <row r="55" spans="1:9" x14ac:dyDescent="0.35">
      <c r="A55" s="1">
        <v>2018</v>
      </c>
      <c r="B55" s="1">
        <v>8881053</v>
      </c>
      <c r="C55" s="1">
        <v>7360957</v>
      </c>
      <c r="D55" s="1">
        <v>2359907</v>
      </c>
      <c r="E55" s="1">
        <v>327430</v>
      </c>
      <c r="F55" s="1">
        <v>7853822</v>
      </c>
      <c r="G55" s="1">
        <v>407702</v>
      </c>
      <c r="H55" s="1"/>
      <c r="I55" s="1"/>
    </row>
    <row r="56" spans="1:9" x14ac:dyDescent="0.35">
      <c r="A56" s="1">
        <v>2019</v>
      </c>
      <c r="B56" s="1">
        <v>8910554</v>
      </c>
      <c r="C56" s="1">
        <v>7590595</v>
      </c>
      <c r="D56" s="1">
        <v>2419609</v>
      </c>
      <c r="E56" s="1">
        <v>334764</v>
      </c>
      <c r="F56" s="1">
        <v>7908703</v>
      </c>
      <c r="G56" s="1">
        <v>456311</v>
      </c>
      <c r="H56" s="1"/>
      <c r="I56" s="1"/>
    </row>
    <row r="57" spans="1:9" x14ac:dyDescent="0.35">
      <c r="A57" s="1">
        <v>2020</v>
      </c>
      <c r="B57" s="1">
        <v>8176121</v>
      </c>
      <c r="C57" s="1">
        <v>7341082</v>
      </c>
      <c r="D57" s="1">
        <v>2329971</v>
      </c>
      <c r="E57" s="1">
        <v>322645</v>
      </c>
      <c r="F57" s="1">
        <v>7514469</v>
      </c>
      <c r="G57" s="1">
        <v>500885</v>
      </c>
      <c r="H57" s="1"/>
      <c r="I57" s="1"/>
    </row>
    <row r="58" spans="1:9" x14ac:dyDescent="0.35">
      <c r="A58" s="1">
        <v>2021</v>
      </c>
      <c r="B58" s="1">
        <v>8681661</v>
      </c>
      <c r="C58" s="1">
        <v>7561104</v>
      </c>
      <c r="D58" s="1">
        <v>2355997</v>
      </c>
      <c r="E58" s="1">
        <v>330078</v>
      </c>
      <c r="F58" s="1">
        <v>7602438</v>
      </c>
      <c r="G58" s="1">
        <v>553361</v>
      </c>
      <c r="H58" s="1"/>
      <c r="I58" s="1"/>
    </row>
    <row r="59" spans="1:9" x14ac:dyDescent="0.35">
      <c r="A59" s="1">
        <v>2022</v>
      </c>
      <c r="B59" s="1">
        <v>9151488</v>
      </c>
      <c r="C59" s="1">
        <v>7891561</v>
      </c>
      <c r="D59" s="1">
        <v>2516909</v>
      </c>
      <c r="E59" s="1">
        <v>347156</v>
      </c>
      <c r="F59" s="1">
        <v>7897719</v>
      </c>
      <c r="G59" s="1">
        <v>630276</v>
      </c>
      <c r="H59" s="1"/>
      <c r="I59" s="1"/>
    </row>
    <row r="60" spans="1:9" x14ac:dyDescent="0.35">
      <c r="A60" s="1">
        <v>2023</v>
      </c>
      <c r="B60" s="1">
        <v>8936821</v>
      </c>
      <c r="C60" s="1">
        <v>8132056</v>
      </c>
      <c r="D60" s="1">
        <v>2564739</v>
      </c>
      <c r="E60" s="1">
        <v>344648</v>
      </c>
      <c r="F60" s="1">
        <v>8084538</v>
      </c>
      <c r="G60" s="1">
        <v>646423</v>
      </c>
      <c r="H60" s="1"/>
      <c r="I60" s="1"/>
    </row>
    <row r="61" spans="1:9" x14ac:dyDescent="0.35">
      <c r="A61" s="1">
        <v>2024</v>
      </c>
      <c r="B61" s="1">
        <v>8703103</v>
      </c>
      <c r="C61" s="1">
        <v>8325157</v>
      </c>
      <c r="D61" s="1">
        <v>2627947</v>
      </c>
      <c r="E61" s="1">
        <v>337661</v>
      </c>
      <c r="F61" s="1">
        <v>8230299</v>
      </c>
      <c r="G61" s="1">
        <v>634691</v>
      </c>
      <c r="H61" s="1"/>
      <c r="I61" s="1"/>
    </row>
  </sheetData>
  <mergeCells count="2">
    <mergeCell ref="A2:H2"/>
    <mergeCell ref="A1:H1"/>
  </mergeCells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"/>
  <sheetViews>
    <sheetView workbookViewId="0"/>
  </sheetViews>
  <sheetFormatPr defaultRowHeight="14.5" x14ac:dyDescent="0.35"/>
  <cols>
    <col min="1" max="1" width="22" customWidth="1"/>
    <col min="2" max="2" width="13" customWidth="1"/>
    <col min="3" max="3" width="20" customWidth="1"/>
    <col min="4" max="4" width="12" customWidth="1"/>
    <col min="5" max="5" width="10" customWidth="1"/>
    <col min="6" max="6" width="18" customWidth="1"/>
    <col min="7" max="7" width="16" customWidth="1"/>
    <col min="8" max="8" width="19" customWidth="1"/>
    <col min="9" max="16" width="22" customWidth="1"/>
  </cols>
  <sheetData>
    <row r="1" spans="1:16" ht="29" x14ac:dyDescent="0.35">
      <c r="A1" s="2" t="s">
        <v>2</v>
      </c>
      <c r="B1" s="2" t="s">
        <v>3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</row>
    <row r="2" spans="1:16" x14ac:dyDescent="0.35">
      <c r="A2" s="1" t="s">
        <v>11</v>
      </c>
      <c r="B2" s="1" t="s">
        <v>12</v>
      </c>
      <c r="C2" s="1" t="s">
        <v>4</v>
      </c>
      <c r="D2" s="1">
        <v>2014</v>
      </c>
      <c r="E2" s="1">
        <v>2019</v>
      </c>
      <c r="F2" s="4">
        <v>8247941</v>
      </c>
      <c r="G2" s="4">
        <v>8910554</v>
      </c>
      <c r="H2" s="4">
        <v>662613</v>
      </c>
      <c r="I2" s="3">
        <v>8.0336777384804284E-2</v>
      </c>
      <c r="J2" s="3">
        <v>1.557460406080291E-2</v>
      </c>
      <c r="K2" s="3">
        <v>0.3005992216460962</v>
      </c>
      <c r="L2" s="3">
        <v>0.20388313058682139</v>
      </c>
      <c r="M2" s="3">
        <v>0.14084483292829181</v>
      </c>
      <c r="N2" s="5">
        <v>17.384691750432619</v>
      </c>
      <c r="O2" s="5">
        <v>16.462643577289249</v>
      </c>
      <c r="P2" s="3">
        <v>-5.3037936270594409E-2</v>
      </c>
    </row>
    <row r="3" spans="1:16" x14ac:dyDescent="0.35">
      <c r="A3" s="1" t="s">
        <v>11</v>
      </c>
      <c r="B3" s="1" t="s">
        <v>12</v>
      </c>
      <c r="C3" s="1" t="s">
        <v>5</v>
      </c>
      <c r="D3" s="1">
        <v>2020</v>
      </c>
      <c r="E3" s="1">
        <v>2021</v>
      </c>
      <c r="F3" s="4">
        <v>8176121</v>
      </c>
      <c r="G3" s="4">
        <v>8681661</v>
      </c>
      <c r="H3" s="4">
        <v>505540</v>
      </c>
      <c r="I3" s="3">
        <v>6.183127671422671E-2</v>
      </c>
      <c r="J3" s="3">
        <v>6.1831276714226613E-2</v>
      </c>
      <c r="K3" s="3">
        <v>0.14838491901255721</v>
      </c>
      <c r="L3" s="3">
        <v>8.151355511599323E-2</v>
      </c>
      <c r="M3" s="3">
        <v>5.1075660123389557E-2</v>
      </c>
      <c r="N3" s="5">
        <v>14.693387893589531</v>
      </c>
      <c r="O3" s="5">
        <v>14.84374476379366</v>
      </c>
      <c r="P3" s="3">
        <v>1.023296133560409E-2</v>
      </c>
    </row>
    <row r="4" spans="1:16" x14ac:dyDescent="0.35">
      <c r="A4" s="1" t="s">
        <v>11</v>
      </c>
      <c r="B4" s="1" t="s">
        <v>12</v>
      </c>
      <c r="C4" s="1" t="s">
        <v>6</v>
      </c>
      <c r="D4" s="1">
        <v>2022</v>
      </c>
      <c r="E4" s="1">
        <v>2024</v>
      </c>
      <c r="F4" s="4">
        <v>9151488</v>
      </c>
      <c r="G4" s="4">
        <v>8703103</v>
      </c>
      <c r="H4" s="4">
        <v>-448385</v>
      </c>
      <c r="I4" s="3">
        <v>-4.8995857285722283E-2</v>
      </c>
      <c r="J4" s="3">
        <v>-2.4805587221564451E-2</v>
      </c>
      <c r="K4" s="3">
        <v>5.2105810870346396E-3</v>
      </c>
      <c r="L4" s="3">
        <v>5.6999161137243133E-2</v>
      </c>
      <c r="M4" s="3">
        <v>4.8165654917580437E-2</v>
      </c>
      <c r="N4" s="5">
        <v>14.638750389903301</v>
      </c>
      <c r="O4" s="5">
        <v>13.281786327995039</v>
      </c>
      <c r="P4" s="3">
        <v>-9.2696714252617607E-2</v>
      </c>
    </row>
    <row r="5" spans="1:16" x14ac:dyDescent="0.35">
      <c r="A5" s="1" t="s">
        <v>13</v>
      </c>
      <c r="B5" s="1" t="s">
        <v>14</v>
      </c>
      <c r="C5" s="1" t="s">
        <v>4</v>
      </c>
      <c r="D5" s="1">
        <v>2014</v>
      </c>
      <c r="E5" s="1">
        <v>2019</v>
      </c>
      <c r="F5" s="4">
        <v>4532491</v>
      </c>
      <c r="G5" s="4">
        <v>7590595</v>
      </c>
      <c r="H5" s="4">
        <v>3058104</v>
      </c>
      <c r="I5" s="3">
        <v>0.6747071312441657</v>
      </c>
      <c r="J5" s="3">
        <v>0.10863292878103011</v>
      </c>
      <c r="K5" s="3">
        <v>0.9498777980743266</v>
      </c>
      <c r="L5" s="3">
        <v>0.164309724187854</v>
      </c>
      <c r="M5" s="3">
        <v>0.51896015485667057</v>
      </c>
      <c r="N5" s="5">
        <v>8.2149633157887099</v>
      </c>
      <c r="O5" s="5">
        <v>9.0572867259699432</v>
      </c>
      <c r="P5" s="3">
        <v>0.10253526130327741</v>
      </c>
    </row>
    <row r="6" spans="1:16" x14ac:dyDescent="0.35">
      <c r="A6" s="1" t="s">
        <v>13</v>
      </c>
      <c r="B6" s="1" t="s">
        <v>14</v>
      </c>
      <c r="C6" s="1" t="s">
        <v>5</v>
      </c>
      <c r="D6" s="1">
        <v>2020</v>
      </c>
      <c r="E6" s="1">
        <v>2021</v>
      </c>
      <c r="F6" s="4">
        <v>7341082</v>
      </c>
      <c r="G6" s="4">
        <v>7561104</v>
      </c>
      <c r="H6" s="4">
        <v>220022</v>
      </c>
      <c r="I6" s="3">
        <v>2.9971331201585811E-2</v>
      </c>
      <c r="J6" s="3">
        <v>2.9971331201585901E-2</v>
      </c>
      <c r="K6" s="3">
        <v>6.7824958246052114E-2</v>
      </c>
      <c r="L6" s="3">
        <v>3.6752117168451247E-2</v>
      </c>
      <c r="M6" s="3">
        <v>2.8879915730337082E-2</v>
      </c>
      <c r="N6" s="5">
        <v>8.5920903558052437</v>
      </c>
      <c r="O6" s="5">
        <v>8.6012046753689955</v>
      </c>
      <c r="P6" s="3">
        <v>1.060780227665281E-3</v>
      </c>
    </row>
    <row r="7" spans="1:16" x14ac:dyDescent="0.35">
      <c r="A7" s="1" t="s">
        <v>13</v>
      </c>
      <c r="B7" s="1" t="s">
        <v>14</v>
      </c>
      <c r="C7" s="1" t="s">
        <v>6</v>
      </c>
      <c r="D7" s="1">
        <v>2022</v>
      </c>
      <c r="E7" s="1">
        <v>2024</v>
      </c>
      <c r="F7" s="4">
        <v>7891561</v>
      </c>
      <c r="G7" s="4">
        <v>8325157</v>
      </c>
      <c r="H7" s="4">
        <v>433596</v>
      </c>
      <c r="I7" s="3">
        <v>5.4944262611668328E-2</v>
      </c>
      <c r="J7" s="3">
        <v>2.710479631421658E-2</v>
      </c>
      <c r="K7" s="3">
        <v>0.16424729243439071</v>
      </c>
      <c r="L7" s="3">
        <v>0.10361024150425439</v>
      </c>
      <c r="M7" s="3">
        <v>3.8043269584143773E-2</v>
      </c>
      <c r="N7" s="5">
        <v>8.6573845828108666</v>
      </c>
      <c r="O7" s="5">
        <v>8.7983405532968586</v>
      </c>
      <c r="P7" s="3">
        <v>1.6281588179166528E-2</v>
      </c>
    </row>
    <row r="8" spans="1:16" x14ac:dyDescent="0.35">
      <c r="A8" s="1" t="s">
        <v>15</v>
      </c>
      <c r="B8" s="1" t="s">
        <v>12</v>
      </c>
      <c r="C8" s="1" t="s">
        <v>4</v>
      </c>
      <c r="D8" s="1">
        <v>2014</v>
      </c>
      <c r="E8" s="1">
        <v>2019</v>
      </c>
      <c r="F8" s="4">
        <v>2163947</v>
      </c>
      <c r="G8" s="4">
        <v>2419609</v>
      </c>
      <c r="H8" s="4">
        <v>255662</v>
      </c>
      <c r="I8" s="3">
        <v>0.1181461468326165</v>
      </c>
      <c r="J8" s="3">
        <v>2.2585697923509059E-2</v>
      </c>
      <c r="K8" s="3">
        <v>0.25025478749180607</v>
      </c>
      <c r="L8" s="3">
        <v>0.1181497079191436</v>
      </c>
      <c r="M8" s="3">
        <v>0.15702644270746721</v>
      </c>
      <c r="N8" s="5">
        <v>35.987809745551303</v>
      </c>
      <c r="O8" s="5">
        <v>34.778488472373937</v>
      </c>
      <c r="P8" s="3">
        <v>-3.3603636390426662E-2</v>
      </c>
    </row>
    <row r="9" spans="1:16" x14ac:dyDescent="0.35">
      <c r="A9" s="1" t="s">
        <v>15</v>
      </c>
      <c r="B9" s="1" t="s">
        <v>12</v>
      </c>
      <c r="C9" s="1" t="s">
        <v>5</v>
      </c>
      <c r="D9" s="1">
        <v>2020</v>
      </c>
      <c r="E9" s="1">
        <v>2021</v>
      </c>
      <c r="F9" s="4">
        <v>2329971</v>
      </c>
      <c r="G9" s="4">
        <v>2355997</v>
      </c>
      <c r="H9" s="4">
        <v>26026</v>
      </c>
      <c r="I9" s="3">
        <v>1.1170096108492339E-2</v>
      </c>
      <c r="J9" s="3">
        <v>1.11700961084924E-2</v>
      </c>
      <c r="K9" s="3">
        <v>8.1746414656014121E-2</v>
      </c>
      <c r="L9" s="3">
        <v>6.9796682891569012E-2</v>
      </c>
      <c r="M9" s="3">
        <v>9.1439074909809195E-2</v>
      </c>
      <c r="N9" s="5">
        <v>31.960754996502111</v>
      </c>
      <c r="O9" s="5">
        <v>29.610227858282961</v>
      </c>
      <c r="P9" s="3">
        <v>-7.3544168104802257E-2</v>
      </c>
    </row>
    <row r="10" spans="1:16" x14ac:dyDescent="0.35">
      <c r="A10" s="1" t="s">
        <v>15</v>
      </c>
      <c r="B10" s="1" t="s">
        <v>12</v>
      </c>
      <c r="C10" s="1" t="s">
        <v>6</v>
      </c>
      <c r="D10" s="1">
        <v>2022</v>
      </c>
      <c r="E10" s="1">
        <v>2024</v>
      </c>
      <c r="F10" s="4">
        <v>2516909</v>
      </c>
      <c r="G10" s="4">
        <v>2627947</v>
      </c>
      <c r="H10" s="4">
        <v>111038</v>
      </c>
      <c r="I10" s="3">
        <v>4.4116811533511942E-2</v>
      </c>
      <c r="J10" s="3">
        <v>2.1820342102031098E-2</v>
      </c>
      <c r="K10" s="3">
        <v>0.1640009778861107</v>
      </c>
      <c r="L10" s="3">
        <v>0.114818730077263</v>
      </c>
      <c r="M10" s="3">
        <v>0.14209530362979531</v>
      </c>
      <c r="N10" s="5">
        <v>28.865290440965651</v>
      </c>
      <c r="O10" s="5">
        <v>26.388984284781841</v>
      </c>
      <c r="P10" s="3">
        <v>-8.5788367910181504E-2</v>
      </c>
    </row>
    <row r="11" spans="1:16" x14ac:dyDescent="0.35">
      <c r="A11" s="1" t="s">
        <v>16</v>
      </c>
      <c r="B11" s="1" t="s">
        <v>17</v>
      </c>
      <c r="C11" s="1" t="s">
        <v>4</v>
      </c>
      <c r="D11" s="1">
        <v>2014</v>
      </c>
      <c r="E11" s="1">
        <v>2019</v>
      </c>
      <c r="F11" s="4">
        <v>317472</v>
      </c>
      <c r="G11" s="4">
        <v>334764</v>
      </c>
      <c r="H11" s="4">
        <v>17292</v>
      </c>
      <c r="I11" s="3">
        <v>5.4467795585122471E-2</v>
      </c>
      <c r="J11" s="3">
        <v>1.0663692263802821E-2</v>
      </c>
      <c r="K11" s="3">
        <v>0.22043002498538791</v>
      </c>
      <c r="L11" s="3">
        <v>0.15738956665639409</v>
      </c>
      <c r="M11" s="3">
        <v>-1.292469623094188E-2</v>
      </c>
      <c r="N11" s="5">
        <v>24.57023450197353</v>
      </c>
      <c r="O11" s="5">
        <v>26.247765406931158</v>
      </c>
      <c r="P11" s="3">
        <v>6.8274924475095478E-2</v>
      </c>
    </row>
    <row r="12" spans="1:16" x14ac:dyDescent="0.35">
      <c r="A12" s="1" t="s">
        <v>16</v>
      </c>
      <c r="B12" s="1" t="s">
        <v>17</v>
      </c>
      <c r="C12" s="1" t="s">
        <v>5</v>
      </c>
      <c r="D12" s="1">
        <v>2020</v>
      </c>
      <c r="E12" s="1">
        <v>2021</v>
      </c>
      <c r="F12" s="4">
        <v>322645</v>
      </c>
      <c r="G12" s="4">
        <v>330078</v>
      </c>
      <c r="H12" s="4">
        <v>7433</v>
      </c>
      <c r="I12" s="3">
        <v>2.3037703978056379E-2</v>
      </c>
      <c r="J12" s="3">
        <v>2.3037703978056271E-2</v>
      </c>
      <c r="K12" s="3">
        <v>6.7499711328765727E-2</v>
      </c>
      <c r="L12" s="3">
        <v>4.346077097434424E-2</v>
      </c>
      <c r="M12" s="3">
        <v>2.6785012960490139E-2</v>
      </c>
      <c r="N12" s="5">
        <v>25.34325661770481</v>
      </c>
      <c r="O12" s="5">
        <v>25.25076499388005</v>
      </c>
      <c r="P12" s="3">
        <v>-3.649555588690546E-3</v>
      </c>
    </row>
    <row r="13" spans="1:16" x14ac:dyDescent="0.35">
      <c r="A13" s="1" t="s">
        <v>16</v>
      </c>
      <c r="B13" s="1" t="s">
        <v>17</v>
      </c>
      <c r="C13" s="1" t="s">
        <v>6</v>
      </c>
      <c r="D13" s="1">
        <v>2022</v>
      </c>
      <c r="E13" s="1">
        <v>2024</v>
      </c>
      <c r="F13" s="4">
        <v>347156</v>
      </c>
      <c r="G13" s="4">
        <v>337661</v>
      </c>
      <c r="H13" s="4">
        <v>-9495</v>
      </c>
      <c r="I13" s="3">
        <v>-2.7350816347693829E-2</v>
      </c>
      <c r="J13" s="3">
        <v>-1.377021762050501E-2</v>
      </c>
      <c r="K13" s="3">
        <v>6.7390152809735218E-2</v>
      </c>
      <c r="L13" s="3">
        <v>9.7405077544686677E-2</v>
      </c>
      <c r="M13" s="3">
        <v>5.184094256259205E-2</v>
      </c>
      <c r="N13" s="5">
        <v>25.56377025036819</v>
      </c>
      <c r="O13" s="5">
        <v>23.639106692803139</v>
      </c>
      <c r="P13" s="3">
        <v>-7.5288720666597836E-2</v>
      </c>
    </row>
    <row r="14" spans="1:16" x14ac:dyDescent="0.35">
      <c r="A14" s="1" t="s">
        <v>18</v>
      </c>
      <c r="B14" s="1" t="s">
        <v>17</v>
      </c>
      <c r="C14" s="1" t="s">
        <v>4</v>
      </c>
      <c r="D14" s="1">
        <v>2014</v>
      </c>
      <c r="E14" s="1">
        <v>2019</v>
      </c>
      <c r="F14" s="4">
        <v>7408928</v>
      </c>
      <c r="G14" s="4">
        <v>7908703</v>
      </c>
      <c r="H14" s="4">
        <v>499775</v>
      </c>
      <c r="I14" s="3">
        <v>6.7455777677958267E-2</v>
      </c>
      <c r="J14" s="3">
        <v>1.314120438734623E-2</v>
      </c>
      <c r="K14" s="3">
        <v>0.21280505265071101</v>
      </c>
      <c r="L14" s="3">
        <v>0.13616421215025121</v>
      </c>
      <c r="M14" s="3">
        <v>5.2135023429353902E-2</v>
      </c>
      <c r="N14" s="5">
        <v>93.075815630456901</v>
      </c>
      <c r="O14" s="5">
        <v>94.43114709078101</v>
      </c>
      <c r="P14" s="3">
        <v>1.456158564008982E-2</v>
      </c>
    </row>
    <row r="15" spans="1:16" x14ac:dyDescent="0.35">
      <c r="A15" s="1" t="s">
        <v>18</v>
      </c>
      <c r="B15" s="1" t="s">
        <v>17</v>
      </c>
      <c r="C15" s="1" t="s">
        <v>5</v>
      </c>
      <c r="D15" s="1">
        <v>2020</v>
      </c>
      <c r="E15" s="1">
        <v>2021</v>
      </c>
      <c r="F15" s="4">
        <v>7514469</v>
      </c>
      <c r="G15" s="4">
        <v>7602438</v>
      </c>
      <c r="H15" s="4">
        <v>87969</v>
      </c>
      <c r="I15" s="3">
        <v>1.17066155971899E-2</v>
      </c>
      <c r="J15" s="3">
        <v>1.1706615597189879E-2</v>
      </c>
      <c r="K15" s="3">
        <v>4.9923317623428373E-2</v>
      </c>
      <c r="L15" s="3">
        <v>3.7774490585573618E-2</v>
      </c>
      <c r="M15" s="3">
        <v>7.4832282742102688E-3</v>
      </c>
      <c r="N15" s="5">
        <v>89.542176570822562</v>
      </c>
      <c r="O15" s="5">
        <v>89.917538941915339</v>
      </c>
      <c r="P15" s="3">
        <v>4.1920174991043188E-3</v>
      </c>
    </row>
    <row r="16" spans="1:16" x14ac:dyDescent="0.35">
      <c r="A16" s="1" t="s">
        <v>18</v>
      </c>
      <c r="B16" s="1" t="s">
        <v>17</v>
      </c>
      <c r="C16" s="1" t="s">
        <v>6</v>
      </c>
      <c r="D16" s="1">
        <v>2022</v>
      </c>
      <c r="E16" s="1">
        <v>2024</v>
      </c>
      <c r="F16" s="4">
        <v>7897719</v>
      </c>
      <c r="G16" s="4">
        <v>8230299</v>
      </c>
      <c r="H16" s="4">
        <v>332580</v>
      </c>
      <c r="I16" s="3">
        <v>4.2110893031266368E-2</v>
      </c>
      <c r="J16" s="3">
        <v>2.0838328547310381E-2</v>
      </c>
      <c r="K16" s="3">
        <v>0.1133799992488234</v>
      </c>
      <c r="L16" s="3">
        <v>6.8389176904437896E-2</v>
      </c>
      <c r="M16" s="3">
        <v>1.3966120743142791E-2</v>
      </c>
      <c r="N16" s="5">
        <v>92.456410016272343</v>
      </c>
      <c r="O16" s="5">
        <v>95.022733045466097</v>
      </c>
      <c r="P16" s="3">
        <v>2.7757113095155661E-2</v>
      </c>
    </row>
    <row r="17" spans="1:16" x14ac:dyDescent="0.35">
      <c r="A17" s="1" t="s">
        <v>19</v>
      </c>
      <c r="B17" s="1" t="s">
        <v>12</v>
      </c>
      <c r="C17" s="1" t="s">
        <v>4</v>
      </c>
      <c r="D17" s="1">
        <v>2014</v>
      </c>
      <c r="E17" s="1">
        <v>2019</v>
      </c>
      <c r="F17" s="4">
        <v>310568</v>
      </c>
      <c r="G17" s="4">
        <v>456311</v>
      </c>
      <c r="H17" s="4">
        <v>145743</v>
      </c>
      <c r="I17" s="3">
        <v>0.46927886968393401</v>
      </c>
      <c r="J17" s="3">
        <v>7.999276616324047E-2</v>
      </c>
      <c r="K17" s="3">
        <v>0.77902048167117366</v>
      </c>
      <c r="L17" s="3">
        <v>0.21081199653668911</v>
      </c>
      <c r="M17" s="3">
        <v>1.3074855530170679</v>
      </c>
      <c r="N17" s="5">
        <v>20.86870044348878</v>
      </c>
      <c r="O17" s="5">
        <v>13.288031450203841</v>
      </c>
      <c r="P17" s="3">
        <v>-0.3632554415073877</v>
      </c>
    </row>
    <row r="18" spans="1:16" x14ac:dyDescent="0.35">
      <c r="A18" s="1" t="s">
        <v>19</v>
      </c>
      <c r="B18" s="1" t="s">
        <v>12</v>
      </c>
      <c r="C18" s="1" t="s">
        <v>5</v>
      </c>
      <c r="D18" s="1">
        <v>2020</v>
      </c>
      <c r="E18" s="1">
        <v>2021</v>
      </c>
      <c r="F18" s="4">
        <v>500885</v>
      </c>
      <c r="G18" s="4">
        <v>553361</v>
      </c>
      <c r="H18" s="4">
        <v>52476</v>
      </c>
      <c r="I18" s="3">
        <v>0.1047665631831658</v>
      </c>
      <c r="J18" s="3">
        <v>0.1047665631831658</v>
      </c>
      <c r="K18" s="3">
        <v>0.24451884034491589</v>
      </c>
      <c r="L18" s="3">
        <v>0.12649937264491559</v>
      </c>
      <c r="M18" s="3">
        <v>0.33268192588611772</v>
      </c>
      <c r="N18" s="5">
        <v>12.235508219947731</v>
      </c>
      <c r="O18" s="5">
        <v>10.142990688466901</v>
      </c>
      <c r="P18" s="3">
        <v>-0.17102007483999451</v>
      </c>
    </row>
    <row r="19" spans="1:16" x14ac:dyDescent="0.35">
      <c r="A19" s="1" t="s">
        <v>19</v>
      </c>
      <c r="B19" s="1" t="s">
        <v>12</v>
      </c>
      <c r="C19" s="1" t="s">
        <v>6</v>
      </c>
      <c r="D19" s="1">
        <v>2022</v>
      </c>
      <c r="E19" s="1">
        <v>2024</v>
      </c>
      <c r="F19" s="4">
        <v>630276</v>
      </c>
      <c r="G19" s="4">
        <v>634691</v>
      </c>
      <c r="H19" s="4">
        <v>4415</v>
      </c>
      <c r="I19" s="3">
        <v>7.0048677087498172E-3</v>
      </c>
      <c r="J19" s="3">
        <v>3.4963217215844282E-3</v>
      </c>
      <c r="K19" s="3">
        <v>0.16600630914697581</v>
      </c>
      <c r="L19" s="3">
        <v>0.15789540501428129</v>
      </c>
      <c r="M19" s="3">
        <v>0.28821696510959249</v>
      </c>
      <c r="N19" s="5">
        <v>8.428741457934926</v>
      </c>
      <c r="O19" s="5">
        <v>6.5887842705727246</v>
      </c>
      <c r="P19" s="3">
        <v>-0.21829560160847519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workbookViewId="0"/>
  </sheetViews>
  <sheetFormatPr defaultRowHeight="14.5" x14ac:dyDescent="0.35"/>
  <cols>
    <col min="1" max="1" width="24" customWidth="1"/>
    <col min="2" max="2" width="10" customWidth="1"/>
    <col min="3" max="3" width="12" customWidth="1"/>
    <col min="4" max="4" width="14" customWidth="1"/>
    <col min="5" max="5" width="20" customWidth="1"/>
    <col min="6" max="6" width="16" customWidth="1"/>
    <col min="7" max="7" width="24" customWidth="1"/>
  </cols>
  <sheetData>
    <row r="1" spans="1:7" ht="29" x14ac:dyDescent="0.35">
      <c r="A1" s="2" t="s">
        <v>2</v>
      </c>
      <c r="B1" s="2" t="s">
        <v>20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</row>
    <row r="2" spans="1:7" x14ac:dyDescent="0.35">
      <c r="A2" s="1" t="s">
        <v>11</v>
      </c>
      <c r="B2" s="1">
        <v>2014</v>
      </c>
      <c r="C2" s="4">
        <v>8247941</v>
      </c>
      <c r="D2" s="6">
        <v>286509476616</v>
      </c>
      <c r="E2" s="6">
        <v>34737.090943788273</v>
      </c>
      <c r="F2" s="4">
        <v>474437</v>
      </c>
      <c r="G2" s="5">
        <v>17.384691750432619</v>
      </c>
    </row>
    <row r="3" spans="1:7" x14ac:dyDescent="0.35">
      <c r="A3" s="1" t="s">
        <v>11</v>
      </c>
      <c r="B3" s="1">
        <v>2015</v>
      </c>
      <c r="C3" s="4">
        <v>8453208</v>
      </c>
      <c r="D3" s="6">
        <v>305770285413</v>
      </c>
      <c r="E3" s="6">
        <v>36172.100037405908</v>
      </c>
      <c r="F3" s="4">
        <v>488720</v>
      </c>
      <c r="G3" s="5">
        <v>17.2966279260108</v>
      </c>
    </row>
    <row r="4" spans="1:7" x14ac:dyDescent="0.35">
      <c r="A4" s="1" t="s">
        <v>11</v>
      </c>
      <c r="B4" s="1">
        <v>2016</v>
      </c>
      <c r="C4" s="4">
        <v>8615414</v>
      </c>
      <c r="D4" s="6">
        <v>317729039261</v>
      </c>
      <c r="E4" s="6">
        <v>36879.137701449981</v>
      </c>
      <c r="F4" s="4">
        <v>501700</v>
      </c>
      <c r="G4" s="5">
        <v>17.172441698226031</v>
      </c>
    </row>
    <row r="5" spans="1:7" x14ac:dyDescent="0.35">
      <c r="A5" s="1" t="s">
        <v>11</v>
      </c>
      <c r="B5" s="1">
        <v>2017</v>
      </c>
      <c r="C5" s="4">
        <v>8712895</v>
      </c>
      <c r="D5" s="6">
        <v>335073273483</v>
      </c>
      <c r="E5" s="6">
        <v>38457.168769163407</v>
      </c>
      <c r="F5" s="4">
        <v>508740</v>
      </c>
      <c r="G5" s="5">
        <v>17.126420175335141</v>
      </c>
    </row>
    <row r="6" spans="1:7" x14ac:dyDescent="0.35">
      <c r="A6" s="1" t="s">
        <v>11</v>
      </c>
      <c r="B6" s="1">
        <v>2018</v>
      </c>
      <c r="C6" s="4">
        <v>8881053</v>
      </c>
      <c r="D6" s="6">
        <v>353458211575</v>
      </c>
      <c r="E6" s="6">
        <v>39799.13323059777</v>
      </c>
      <c r="F6" s="4">
        <v>524787</v>
      </c>
      <c r="G6" s="5">
        <v>16.92315739528609</v>
      </c>
    </row>
    <row r="7" spans="1:7" x14ac:dyDescent="0.35">
      <c r="A7" s="1" t="s">
        <v>11</v>
      </c>
      <c r="B7" s="1">
        <v>2019</v>
      </c>
      <c r="C7" s="4">
        <v>8910554</v>
      </c>
      <c r="D7" s="6">
        <v>372634002281</v>
      </c>
      <c r="E7" s="6">
        <v>41819.39779288695</v>
      </c>
      <c r="F7" s="4">
        <v>541259</v>
      </c>
      <c r="G7" s="5">
        <v>16.462643577289249</v>
      </c>
    </row>
    <row r="8" spans="1:7" x14ac:dyDescent="0.35">
      <c r="A8" s="1" t="s">
        <v>11</v>
      </c>
      <c r="B8" s="1">
        <v>2020</v>
      </c>
      <c r="C8" s="4">
        <v>8176121</v>
      </c>
      <c r="D8" s="6">
        <v>369948269341</v>
      </c>
      <c r="E8" s="6">
        <v>45247.406360669083</v>
      </c>
      <c r="F8" s="4">
        <v>556449</v>
      </c>
      <c r="G8" s="5">
        <v>14.693387893589531</v>
      </c>
    </row>
    <row r="9" spans="1:7" x14ac:dyDescent="0.35">
      <c r="A9" s="1" t="s">
        <v>11</v>
      </c>
      <c r="B9" s="1">
        <v>2021</v>
      </c>
      <c r="C9" s="4">
        <v>8681661</v>
      </c>
      <c r="D9" s="6">
        <v>424843013326</v>
      </c>
      <c r="E9" s="6">
        <v>48935.683312905217</v>
      </c>
      <c r="F9" s="4">
        <v>584870</v>
      </c>
      <c r="G9" s="5">
        <v>14.84374476379366</v>
      </c>
    </row>
    <row r="10" spans="1:7" x14ac:dyDescent="0.35">
      <c r="A10" s="1" t="s">
        <v>11</v>
      </c>
      <c r="B10" s="1">
        <v>2022</v>
      </c>
      <c r="C10" s="4">
        <v>9151488</v>
      </c>
      <c r="D10" s="6">
        <v>488257556212</v>
      </c>
      <c r="E10" s="6">
        <v>53352.805162613993</v>
      </c>
      <c r="F10" s="4">
        <v>625155</v>
      </c>
      <c r="G10" s="5">
        <v>14.638750389903301</v>
      </c>
    </row>
    <row r="11" spans="1:7" x14ac:dyDescent="0.35">
      <c r="A11" s="1" t="s">
        <v>11</v>
      </c>
      <c r="B11" s="1">
        <v>2023</v>
      </c>
      <c r="C11" s="4">
        <v>8936821</v>
      </c>
      <c r="D11" s="6">
        <v>490252538229</v>
      </c>
      <c r="E11" s="6">
        <v>54857.598493804449</v>
      </c>
      <c r="F11" s="4">
        <v>649621</v>
      </c>
      <c r="G11" s="5">
        <v>13.75697676029562</v>
      </c>
    </row>
    <row r="12" spans="1:7" x14ac:dyDescent="0.35">
      <c r="A12" s="1" t="s">
        <v>11</v>
      </c>
      <c r="B12" s="1">
        <v>2024</v>
      </c>
      <c r="C12" s="4">
        <v>8703103</v>
      </c>
      <c r="D12" s="6">
        <v>490801661800</v>
      </c>
      <c r="E12" s="6">
        <v>56393.870301201758</v>
      </c>
      <c r="F12" s="4">
        <v>655266</v>
      </c>
      <c r="G12" s="5">
        <v>13.281786327995039</v>
      </c>
    </row>
    <row r="13" spans="1:7" x14ac:dyDescent="0.35">
      <c r="A13" s="1" t="s">
        <v>13</v>
      </c>
      <c r="B13" s="1">
        <v>2014</v>
      </c>
      <c r="C13" s="4">
        <v>4532491</v>
      </c>
      <c r="D13" s="6">
        <v>251210674716</v>
      </c>
      <c r="E13" s="6">
        <v>55424.417768507417</v>
      </c>
      <c r="F13" s="4">
        <v>551736</v>
      </c>
      <c r="G13" s="5">
        <v>8.2149633157887099</v>
      </c>
    </row>
    <row r="14" spans="1:7" x14ac:dyDescent="0.35">
      <c r="A14" s="1" t="s">
        <v>13</v>
      </c>
      <c r="B14" s="1">
        <v>2015</v>
      </c>
      <c r="C14" s="4">
        <v>6573541</v>
      </c>
      <c r="D14" s="6">
        <v>372990378641</v>
      </c>
      <c r="E14" s="6">
        <v>56741.165627627481</v>
      </c>
      <c r="F14" s="4">
        <v>769244</v>
      </c>
      <c r="G14" s="5">
        <v>8.5454563181513272</v>
      </c>
    </row>
    <row r="15" spans="1:7" x14ac:dyDescent="0.35">
      <c r="A15" s="1" t="s">
        <v>13</v>
      </c>
      <c r="B15" s="1">
        <v>2016</v>
      </c>
      <c r="C15" s="4">
        <v>6836930</v>
      </c>
      <c r="D15" s="6">
        <v>399046097944</v>
      </c>
      <c r="E15" s="6">
        <v>58366.269355397817</v>
      </c>
      <c r="F15" s="4">
        <v>782042</v>
      </c>
      <c r="G15" s="5">
        <v>8.7424076967733182</v>
      </c>
    </row>
    <row r="16" spans="1:7" x14ac:dyDescent="0.35">
      <c r="A16" s="1" t="s">
        <v>13</v>
      </c>
      <c r="B16" s="1">
        <v>2017</v>
      </c>
      <c r="C16" s="4">
        <v>7037930</v>
      </c>
      <c r="D16" s="6">
        <v>425437338702</v>
      </c>
      <c r="E16" s="6">
        <v>60449.214286302929</v>
      </c>
      <c r="F16" s="4">
        <v>792089</v>
      </c>
      <c r="G16" s="5">
        <v>8.885276780765798</v>
      </c>
    </row>
    <row r="17" spans="1:7" x14ac:dyDescent="0.35">
      <c r="A17" s="1" t="s">
        <v>13</v>
      </c>
      <c r="B17" s="1">
        <v>2018</v>
      </c>
      <c r="C17" s="4">
        <v>7360957</v>
      </c>
      <c r="D17" s="6">
        <v>459801894064</v>
      </c>
      <c r="E17" s="6">
        <v>62464.961290223539</v>
      </c>
      <c r="F17" s="4">
        <v>817489</v>
      </c>
      <c r="G17" s="5">
        <v>9.0043499056256415</v>
      </c>
    </row>
    <row r="18" spans="1:7" x14ac:dyDescent="0.35">
      <c r="A18" s="1" t="s">
        <v>13</v>
      </c>
      <c r="B18" s="1">
        <v>2019</v>
      </c>
      <c r="C18" s="4">
        <v>7590595</v>
      </c>
      <c r="D18" s="6">
        <v>489830117268</v>
      </c>
      <c r="E18" s="6">
        <v>64531.188565323268</v>
      </c>
      <c r="F18" s="4">
        <v>838065</v>
      </c>
      <c r="G18" s="5">
        <v>9.0572867259699432</v>
      </c>
    </row>
    <row r="19" spans="1:7" x14ac:dyDescent="0.35">
      <c r="A19" s="1" t="s">
        <v>13</v>
      </c>
      <c r="B19" s="1">
        <v>2020</v>
      </c>
      <c r="C19" s="4">
        <v>7341082</v>
      </c>
      <c r="D19" s="6">
        <v>492090407353</v>
      </c>
      <c r="E19" s="6">
        <v>67032.408485969776</v>
      </c>
      <c r="F19" s="4">
        <v>854400</v>
      </c>
      <c r="G19" s="5">
        <v>8.5920903558052437</v>
      </c>
    </row>
    <row r="20" spans="1:7" x14ac:dyDescent="0.35">
      <c r="A20" s="1" t="s">
        <v>13</v>
      </c>
      <c r="B20" s="1">
        <v>2021</v>
      </c>
      <c r="C20" s="4">
        <v>7561104</v>
      </c>
      <c r="D20" s="6">
        <v>525466418685</v>
      </c>
      <c r="E20" s="6">
        <v>69495.991416729623</v>
      </c>
      <c r="F20" s="4">
        <v>879075</v>
      </c>
      <c r="G20" s="5">
        <v>8.6012046753689955</v>
      </c>
    </row>
    <row r="21" spans="1:7" x14ac:dyDescent="0.35">
      <c r="A21" s="1" t="s">
        <v>13</v>
      </c>
      <c r="B21" s="1">
        <v>2022</v>
      </c>
      <c r="C21" s="4">
        <v>7891561</v>
      </c>
      <c r="D21" s="6">
        <v>575744243801</v>
      </c>
      <c r="E21" s="6">
        <v>72956.952851406706</v>
      </c>
      <c r="F21" s="4">
        <v>911541</v>
      </c>
      <c r="G21" s="5">
        <v>8.6573845828108666</v>
      </c>
    </row>
    <row r="22" spans="1:7" x14ac:dyDescent="0.35">
      <c r="A22" s="1" t="s">
        <v>13</v>
      </c>
      <c r="B22" s="1">
        <v>2023</v>
      </c>
      <c r="C22" s="4">
        <v>8132056</v>
      </c>
      <c r="D22" s="6">
        <v>623419225683</v>
      </c>
      <c r="E22" s="6">
        <v>76661.94449263507</v>
      </c>
      <c r="F22" s="4">
        <v>935508</v>
      </c>
      <c r="G22" s="5">
        <v>8.6926632375137363</v>
      </c>
    </row>
    <row r="23" spans="1:7" x14ac:dyDescent="0.35">
      <c r="A23" s="1" t="s">
        <v>13</v>
      </c>
      <c r="B23" s="1">
        <v>2024</v>
      </c>
      <c r="C23" s="4">
        <v>8325157</v>
      </c>
      <c r="D23" s="6">
        <v>670308676980</v>
      </c>
      <c r="E23" s="6">
        <v>80516.040355755453</v>
      </c>
      <c r="F23" s="4">
        <v>946219</v>
      </c>
      <c r="G23" s="5">
        <v>8.7983405532968586</v>
      </c>
    </row>
    <row r="24" spans="1:7" x14ac:dyDescent="0.35">
      <c r="A24" s="1" t="s">
        <v>15</v>
      </c>
      <c r="B24" s="1">
        <v>2014</v>
      </c>
      <c r="C24" s="4">
        <v>2163947</v>
      </c>
      <c r="D24" s="6">
        <v>243279709536</v>
      </c>
      <c r="E24" s="6">
        <v>112424.0610033425</v>
      </c>
      <c r="F24" s="4">
        <v>60130</v>
      </c>
      <c r="G24" s="5">
        <v>35.987809745551303</v>
      </c>
    </row>
    <row r="25" spans="1:7" x14ac:dyDescent="0.35">
      <c r="A25" s="1" t="s">
        <v>15</v>
      </c>
      <c r="B25" s="1">
        <v>2015</v>
      </c>
      <c r="C25" s="4">
        <v>2207899</v>
      </c>
      <c r="D25" s="6">
        <v>256545192122</v>
      </c>
      <c r="E25" s="6">
        <v>116194.2607528696</v>
      </c>
      <c r="F25" s="4">
        <v>61674</v>
      </c>
      <c r="G25" s="5">
        <v>35.799510328501484</v>
      </c>
    </row>
    <row r="26" spans="1:7" x14ac:dyDescent="0.35">
      <c r="A26" s="1" t="s">
        <v>15</v>
      </c>
      <c r="B26" s="1">
        <v>2016</v>
      </c>
      <c r="C26" s="4">
        <v>2241676</v>
      </c>
      <c r="D26" s="6">
        <v>257388321029</v>
      </c>
      <c r="E26" s="6">
        <v>114819.5908012576</v>
      </c>
      <c r="F26" s="4">
        <v>63197</v>
      </c>
      <c r="G26" s="5">
        <v>35.471240723452063</v>
      </c>
    </row>
    <row r="27" spans="1:7" x14ac:dyDescent="0.35">
      <c r="A27" s="1" t="s">
        <v>15</v>
      </c>
      <c r="B27" s="1">
        <v>2017</v>
      </c>
      <c r="C27" s="4">
        <v>2289006</v>
      </c>
      <c r="D27" s="6">
        <v>273240356154</v>
      </c>
      <c r="E27" s="6">
        <v>119370.74702032239</v>
      </c>
      <c r="F27" s="4">
        <v>64683</v>
      </c>
      <c r="G27" s="5">
        <v>35.388061778210663</v>
      </c>
    </row>
    <row r="28" spans="1:7" x14ac:dyDescent="0.35">
      <c r="A28" s="1" t="s">
        <v>15</v>
      </c>
      <c r="B28" s="1">
        <v>2018</v>
      </c>
      <c r="C28" s="4">
        <v>2359907</v>
      </c>
      <c r="D28" s="6">
        <v>288499173357</v>
      </c>
      <c r="E28" s="6">
        <v>122250.22992728101</v>
      </c>
      <c r="F28" s="4">
        <v>66854</v>
      </c>
      <c r="G28" s="5">
        <v>35.299413647650113</v>
      </c>
    </row>
    <row r="29" spans="1:7" x14ac:dyDescent="0.35">
      <c r="A29" s="1" t="s">
        <v>15</v>
      </c>
      <c r="B29" s="1">
        <v>2019</v>
      </c>
      <c r="C29" s="4">
        <v>2419609</v>
      </c>
      <c r="D29" s="6">
        <v>304161621547</v>
      </c>
      <c r="E29" s="6">
        <v>125706.93097397139</v>
      </c>
      <c r="F29" s="4">
        <v>69572</v>
      </c>
      <c r="G29" s="5">
        <v>34.778488472373937</v>
      </c>
    </row>
    <row r="30" spans="1:7" x14ac:dyDescent="0.35">
      <c r="A30" s="1" t="s">
        <v>15</v>
      </c>
      <c r="B30" s="1">
        <v>2020</v>
      </c>
      <c r="C30" s="4">
        <v>2329971</v>
      </c>
      <c r="D30" s="6">
        <v>306831461105</v>
      </c>
      <c r="E30" s="6">
        <v>131688.9614098201</v>
      </c>
      <c r="F30" s="4">
        <v>72901</v>
      </c>
      <c r="G30" s="5">
        <v>31.960754996502111</v>
      </c>
    </row>
    <row r="31" spans="1:7" x14ac:dyDescent="0.35">
      <c r="A31" s="1" t="s">
        <v>15</v>
      </c>
      <c r="B31" s="1">
        <v>2021</v>
      </c>
      <c r="C31" s="4">
        <v>2355997</v>
      </c>
      <c r="D31" s="6">
        <v>331913832954</v>
      </c>
      <c r="E31" s="6">
        <v>140880.41408966141</v>
      </c>
      <c r="F31" s="4">
        <v>79567</v>
      </c>
      <c r="G31" s="5">
        <v>29.610227858282961</v>
      </c>
    </row>
    <row r="32" spans="1:7" x14ac:dyDescent="0.35">
      <c r="A32" s="1" t="s">
        <v>15</v>
      </c>
      <c r="B32" s="1">
        <v>2022</v>
      </c>
      <c r="C32" s="4">
        <v>2516909</v>
      </c>
      <c r="D32" s="6">
        <v>362157482477</v>
      </c>
      <c r="E32" s="6">
        <v>143889.78007428951</v>
      </c>
      <c r="F32" s="4">
        <v>87195</v>
      </c>
      <c r="G32" s="5">
        <v>28.865290440965651</v>
      </c>
    </row>
    <row r="33" spans="1:7" x14ac:dyDescent="0.35">
      <c r="A33" s="1" t="s">
        <v>15</v>
      </c>
      <c r="B33" s="1">
        <v>2023</v>
      </c>
      <c r="C33" s="4">
        <v>2564739</v>
      </c>
      <c r="D33" s="6">
        <v>375109130986</v>
      </c>
      <c r="E33" s="6">
        <v>146256.25881853871</v>
      </c>
      <c r="F33" s="4">
        <v>94273</v>
      </c>
      <c r="G33" s="5">
        <v>27.205445885884611</v>
      </c>
    </row>
    <row r="34" spans="1:7" x14ac:dyDescent="0.35">
      <c r="A34" s="1" t="s">
        <v>15</v>
      </c>
      <c r="B34" s="1">
        <v>2024</v>
      </c>
      <c r="C34" s="4">
        <v>2627947</v>
      </c>
      <c r="D34" s="6">
        <v>421551663752</v>
      </c>
      <c r="E34" s="6">
        <v>160411.0218935161</v>
      </c>
      <c r="F34" s="4">
        <v>99585</v>
      </c>
      <c r="G34" s="5">
        <v>26.388984284781841</v>
      </c>
    </row>
    <row r="35" spans="1:7" x14ac:dyDescent="0.35">
      <c r="A35" s="1" t="s">
        <v>16</v>
      </c>
      <c r="B35" s="1">
        <v>2014</v>
      </c>
      <c r="C35" s="4">
        <v>317472</v>
      </c>
      <c r="D35" s="6">
        <v>21154625729</v>
      </c>
      <c r="E35" s="6">
        <v>66634.618892374754</v>
      </c>
      <c r="F35" s="4">
        <v>12921</v>
      </c>
      <c r="G35" s="5">
        <v>24.57023450197353</v>
      </c>
    </row>
    <row r="36" spans="1:7" x14ac:dyDescent="0.35">
      <c r="A36" s="1" t="s">
        <v>16</v>
      </c>
      <c r="B36" s="1">
        <v>2015</v>
      </c>
      <c r="C36" s="4">
        <v>316996</v>
      </c>
      <c r="D36" s="6">
        <v>22487849110</v>
      </c>
      <c r="E36" s="6">
        <v>70940.482245832754</v>
      </c>
      <c r="F36" s="4">
        <v>12750</v>
      </c>
      <c r="G36" s="5">
        <v>24.862431372549018</v>
      </c>
    </row>
    <row r="37" spans="1:7" x14ac:dyDescent="0.35">
      <c r="A37" s="1" t="s">
        <v>16</v>
      </c>
      <c r="B37" s="1">
        <v>2016</v>
      </c>
      <c r="C37" s="4">
        <v>316441</v>
      </c>
      <c r="D37" s="6">
        <v>22196069034</v>
      </c>
      <c r="E37" s="6">
        <v>70142.835580724364</v>
      </c>
      <c r="F37" s="4">
        <v>12699</v>
      </c>
      <c r="G37" s="5">
        <v>24.918576265847701</v>
      </c>
    </row>
    <row r="38" spans="1:7" x14ac:dyDescent="0.35">
      <c r="A38" s="1" t="s">
        <v>16</v>
      </c>
      <c r="B38" s="1">
        <v>2017</v>
      </c>
      <c r="C38" s="4">
        <v>319185</v>
      </c>
      <c r="D38" s="6">
        <v>23574963886</v>
      </c>
      <c r="E38" s="6">
        <v>73859.874010370157</v>
      </c>
      <c r="F38" s="4">
        <v>12743</v>
      </c>
      <c r="G38" s="5">
        <v>25.047869418504281</v>
      </c>
    </row>
    <row r="39" spans="1:7" x14ac:dyDescent="0.35">
      <c r="A39" s="1" t="s">
        <v>16</v>
      </c>
      <c r="B39" s="1">
        <v>2018</v>
      </c>
      <c r="C39" s="4">
        <v>327430</v>
      </c>
      <c r="D39" s="6">
        <v>24477823077</v>
      </c>
      <c r="E39" s="6">
        <v>74757.423195797572</v>
      </c>
      <c r="F39" s="4">
        <v>12768</v>
      </c>
      <c r="G39" s="5">
        <v>25.644580200501249</v>
      </c>
    </row>
    <row r="40" spans="1:7" x14ac:dyDescent="0.35">
      <c r="A40" s="1" t="s">
        <v>16</v>
      </c>
      <c r="B40" s="1">
        <v>2019</v>
      </c>
      <c r="C40" s="4">
        <v>334764</v>
      </c>
      <c r="D40" s="6">
        <v>25817740407</v>
      </c>
      <c r="E40" s="6">
        <v>77122.212684159589</v>
      </c>
      <c r="F40" s="4">
        <v>12754</v>
      </c>
      <c r="G40" s="5">
        <v>26.247765406931158</v>
      </c>
    </row>
    <row r="41" spans="1:7" x14ac:dyDescent="0.35">
      <c r="A41" s="1" t="s">
        <v>16</v>
      </c>
      <c r="B41" s="1">
        <v>2020</v>
      </c>
      <c r="C41" s="4">
        <v>322645</v>
      </c>
      <c r="D41" s="6">
        <v>25141897211</v>
      </c>
      <c r="E41" s="6">
        <v>77924.335449177888</v>
      </c>
      <c r="F41" s="4">
        <v>12731</v>
      </c>
      <c r="G41" s="5">
        <v>25.34325661770481</v>
      </c>
    </row>
    <row r="42" spans="1:7" x14ac:dyDescent="0.35">
      <c r="A42" s="1" t="s">
        <v>16</v>
      </c>
      <c r="B42" s="1">
        <v>2021</v>
      </c>
      <c r="C42" s="4">
        <v>330078</v>
      </c>
      <c r="D42" s="6">
        <v>26838968015</v>
      </c>
      <c r="E42" s="6">
        <v>81310.987145462583</v>
      </c>
      <c r="F42" s="4">
        <v>13072</v>
      </c>
      <c r="G42" s="5">
        <v>25.25076499388005</v>
      </c>
    </row>
    <row r="43" spans="1:7" x14ac:dyDescent="0.35">
      <c r="A43" s="1" t="s">
        <v>16</v>
      </c>
      <c r="B43" s="1">
        <v>2022</v>
      </c>
      <c r="C43" s="4">
        <v>347156</v>
      </c>
      <c r="D43" s="6">
        <v>28806247546</v>
      </c>
      <c r="E43" s="6">
        <v>82977.81846201708</v>
      </c>
      <c r="F43" s="4">
        <v>13580</v>
      </c>
      <c r="G43" s="5">
        <v>25.56377025036819</v>
      </c>
    </row>
    <row r="44" spans="1:7" x14ac:dyDescent="0.35">
      <c r="A44" s="1" t="s">
        <v>16</v>
      </c>
      <c r="B44" s="1">
        <v>2023</v>
      </c>
      <c r="C44" s="4">
        <v>344648</v>
      </c>
      <c r="D44" s="6">
        <v>29452115152</v>
      </c>
      <c r="E44" s="6">
        <v>85455.639237715004</v>
      </c>
      <c r="F44" s="4">
        <v>14094</v>
      </c>
      <c r="G44" s="5">
        <v>24.453526323258121</v>
      </c>
    </row>
    <row r="45" spans="1:7" x14ac:dyDescent="0.35">
      <c r="A45" s="1" t="s">
        <v>16</v>
      </c>
      <c r="B45" s="1">
        <v>2024</v>
      </c>
      <c r="C45" s="4">
        <v>337661</v>
      </c>
      <c r="D45" s="6">
        <v>30747504970</v>
      </c>
      <c r="E45" s="6">
        <v>91060.279303798787</v>
      </c>
      <c r="F45" s="4">
        <v>14284</v>
      </c>
      <c r="G45" s="5">
        <v>23.639106692803139</v>
      </c>
    </row>
    <row r="46" spans="1:7" x14ac:dyDescent="0.35">
      <c r="A46" s="1" t="s">
        <v>18</v>
      </c>
      <c r="B46" s="1">
        <v>2014</v>
      </c>
      <c r="C46" s="4">
        <v>7408928</v>
      </c>
      <c r="D46" s="6">
        <v>317571346165</v>
      </c>
      <c r="E46" s="6">
        <v>42863.332747328634</v>
      </c>
      <c r="F46" s="4">
        <v>79601</v>
      </c>
      <c r="G46" s="5">
        <v>93.075815630456901</v>
      </c>
    </row>
    <row r="47" spans="1:7" x14ac:dyDescent="0.35">
      <c r="A47" s="1" t="s">
        <v>18</v>
      </c>
      <c r="B47" s="1">
        <v>2015</v>
      </c>
      <c r="C47" s="4">
        <v>7574756</v>
      </c>
      <c r="D47" s="6">
        <v>332591810657</v>
      </c>
      <c r="E47" s="6">
        <v>43907.923985538277</v>
      </c>
      <c r="F47" s="4">
        <v>82219</v>
      </c>
      <c r="G47" s="5">
        <v>92.129021272455276</v>
      </c>
    </row>
    <row r="48" spans="1:7" x14ac:dyDescent="0.35">
      <c r="A48" s="1" t="s">
        <v>18</v>
      </c>
      <c r="B48" s="1">
        <v>2016</v>
      </c>
      <c r="C48" s="4">
        <v>7721317</v>
      </c>
      <c r="D48" s="6">
        <v>346193448855</v>
      </c>
      <c r="E48" s="6">
        <v>44836.062145227297</v>
      </c>
      <c r="F48" s="4">
        <v>82604</v>
      </c>
      <c r="G48" s="5">
        <v>93.473887463076849</v>
      </c>
    </row>
    <row r="49" spans="1:7" x14ac:dyDescent="0.35">
      <c r="A49" s="1" t="s">
        <v>18</v>
      </c>
      <c r="B49" s="1">
        <v>2017</v>
      </c>
      <c r="C49" s="4">
        <v>7784616</v>
      </c>
      <c r="D49" s="6">
        <v>356657949618</v>
      </c>
      <c r="E49" s="6">
        <v>45815.740894348542</v>
      </c>
      <c r="F49" s="4">
        <v>82780</v>
      </c>
      <c r="G49" s="5">
        <v>94.039816380768301</v>
      </c>
    </row>
    <row r="50" spans="1:7" x14ac:dyDescent="0.35">
      <c r="A50" s="1" t="s">
        <v>18</v>
      </c>
      <c r="B50" s="1">
        <v>2018</v>
      </c>
      <c r="C50" s="4">
        <v>7853822</v>
      </c>
      <c r="D50" s="6">
        <v>370875028232</v>
      </c>
      <c r="E50" s="6">
        <v>47222.235012711011</v>
      </c>
      <c r="F50" s="4">
        <v>83248</v>
      </c>
      <c r="G50" s="5">
        <v>94.342470689986541</v>
      </c>
    </row>
    <row r="51" spans="1:7" x14ac:dyDescent="0.35">
      <c r="A51" s="1" t="s">
        <v>18</v>
      </c>
      <c r="B51" s="1">
        <v>2019</v>
      </c>
      <c r="C51" s="4">
        <v>7908703</v>
      </c>
      <c r="D51" s="6">
        <v>385152133206</v>
      </c>
      <c r="E51" s="6">
        <v>48699.784681002689</v>
      </c>
      <c r="F51" s="4">
        <v>83751</v>
      </c>
      <c r="G51" s="5">
        <v>94.43114709078101</v>
      </c>
    </row>
    <row r="52" spans="1:7" x14ac:dyDescent="0.35">
      <c r="A52" s="1" t="s">
        <v>18</v>
      </c>
      <c r="B52" s="1">
        <v>2020</v>
      </c>
      <c r="C52" s="4">
        <v>7514469</v>
      </c>
      <c r="D52" s="6">
        <v>392138500323</v>
      </c>
      <c r="E52" s="6">
        <v>52184.459117869803</v>
      </c>
      <c r="F52" s="4">
        <v>83921</v>
      </c>
      <c r="G52" s="5">
        <v>89.542176570822562</v>
      </c>
    </row>
    <row r="53" spans="1:7" x14ac:dyDescent="0.35">
      <c r="A53" s="1" t="s">
        <v>18</v>
      </c>
      <c r="B53" s="1">
        <v>2021</v>
      </c>
      <c r="C53" s="4">
        <v>7602438</v>
      </c>
      <c r="D53" s="6">
        <v>411715355227</v>
      </c>
      <c r="E53" s="6">
        <v>54155.700477531027</v>
      </c>
      <c r="F53" s="4">
        <v>84549</v>
      </c>
      <c r="G53" s="5">
        <v>89.917538941915339</v>
      </c>
    </row>
    <row r="54" spans="1:7" x14ac:dyDescent="0.35">
      <c r="A54" s="1" t="s">
        <v>18</v>
      </c>
      <c r="B54" s="1">
        <v>2022</v>
      </c>
      <c r="C54" s="4">
        <v>7897719</v>
      </c>
      <c r="D54" s="6">
        <v>439232441453</v>
      </c>
      <c r="E54" s="6">
        <v>55615.101202385144</v>
      </c>
      <c r="F54" s="4">
        <v>85421</v>
      </c>
      <c r="G54" s="5">
        <v>92.456410016272343</v>
      </c>
    </row>
    <row r="55" spans="1:7" x14ac:dyDescent="0.35">
      <c r="A55" s="1" t="s">
        <v>18</v>
      </c>
      <c r="B55" s="1">
        <v>2023</v>
      </c>
      <c r="C55" s="4">
        <v>8084538</v>
      </c>
      <c r="D55" s="6">
        <v>465279918974</v>
      </c>
      <c r="E55" s="6">
        <v>57551.82534536915</v>
      </c>
      <c r="F55" s="4">
        <v>86132</v>
      </c>
      <c r="G55" s="5">
        <v>93.862188269168257</v>
      </c>
    </row>
    <row r="56" spans="1:7" x14ac:dyDescent="0.35">
      <c r="A56" s="1" t="s">
        <v>18</v>
      </c>
      <c r="B56" s="1">
        <v>2024</v>
      </c>
      <c r="C56" s="4">
        <v>8230299</v>
      </c>
      <c r="D56" s="6">
        <v>489032615335</v>
      </c>
      <c r="E56" s="6">
        <v>59418.572197073277</v>
      </c>
      <c r="F56" s="4">
        <v>86614</v>
      </c>
      <c r="G56" s="5">
        <v>95.022733045466097</v>
      </c>
    </row>
    <row r="57" spans="1:7" x14ac:dyDescent="0.35">
      <c r="A57" s="1" t="s">
        <v>19</v>
      </c>
      <c r="B57" s="1">
        <v>2014</v>
      </c>
      <c r="C57" s="4">
        <v>310568</v>
      </c>
      <c r="D57" s="6">
        <v>43934382618</v>
      </c>
      <c r="E57" s="6">
        <v>141464.6152147034</v>
      </c>
      <c r="F57" s="4">
        <v>14882</v>
      </c>
      <c r="G57" s="5">
        <v>20.86870044348878</v>
      </c>
    </row>
    <row r="58" spans="1:7" x14ac:dyDescent="0.35">
      <c r="A58" s="1" t="s">
        <v>19</v>
      </c>
      <c r="B58" s="1">
        <v>2015</v>
      </c>
      <c r="C58" s="4">
        <v>331848</v>
      </c>
      <c r="D58" s="6">
        <v>48868865609</v>
      </c>
      <c r="E58" s="6">
        <v>147262.79986319039</v>
      </c>
      <c r="F58" s="4">
        <v>17355</v>
      </c>
      <c r="G58" s="5">
        <v>19.121175453759719</v>
      </c>
    </row>
    <row r="59" spans="1:7" x14ac:dyDescent="0.35">
      <c r="A59" s="1" t="s">
        <v>19</v>
      </c>
      <c r="B59" s="1">
        <v>2016</v>
      </c>
      <c r="C59" s="4">
        <v>353849</v>
      </c>
      <c r="D59" s="6">
        <v>52318045442</v>
      </c>
      <c r="E59" s="6">
        <v>147854.15655265379</v>
      </c>
      <c r="F59" s="4">
        <v>20160</v>
      </c>
      <c r="G59" s="5">
        <v>17.55203373015873</v>
      </c>
    </row>
    <row r="60" spans="1:7" x14ac:dyDescent="0.35">
      <c r="A60" s="1" t="s">
        <v>19</v>
      </c>
      <c r="B60" s="1">
        <v>2017</v>
      </c>
      <c r="C60" s="4">
        <v>376220</v>
      </c>
      <c r="D60" s="6">
        <v>59290017217</v>
      </c>
      <c r="E60" s="6">
        <v>157594.0067433948</v>
      </c>
      <c r="F60" s="4">
        <v>23416</v>
      </c>
      <c r="G60" s="5">
        <v>16.066791937137001</v>
      </c>
    </row>
    <row r="61" spans="1:7" x14ac:dyDescent="0.35">
      <c r="A61" s="1" t="s">
        <v>19</v>
      </c>
      <c r="B61" s="1">
        <v>2018</v>
      </c>
      <c r="C61" s="4">
        <v>407702</v>
      </c>
      <c r="D61" s="6">
        <v>68454217549</v>
      </c>
      <c r="E61" s="6">
        <v>167902.57970036939</v>
      </c>
      <c r="F61" s="4">
        <v>28709</v>
      </c>
      <c r="G61" s="5">
        <v>14.20119126406353</v>
      </c>
    </row>
    <row r="62" spans="1:7" x14ac:dyDescent="0.35">
      <c r="A62" s="1" t="s">
        <v>19</v>
      </c>
      <c r="B62" s="1">
        <v>2019</v>
      </c>
      <c r="C62" s="4">
        <v>456311</v>
      </c>
      <c r="D62" s="6">
        <v>78160166527</v>
      </c>
      <c r="E62" s="6">
        <v>171287.0531874095</v>
      </c>
      <c r="F62" s="4">
        <v>34340</v>
      </c>
      <c r="G62" s="5">
        <v>13.288031450203841</v>
      </c>
    </row>
    <row r="63" spans="1:7" x14ac:dyDescent="0.35">
      <c r="A63" s="1" t="s">
        <v>19</v>
      </c>
      <c r="B63" s="1">
        <v>2020</v>
      </c>
      <c r="C63" s="4">
        <v>500885</v>
      </c>
      <c r="D63" s="6">
        <v>91112940085</v>
      </c>
      <c r="E63" s="6">
        <v>181903.91024885949</v>
      </c>
      <c r="F63" s="4">
        <v>40937</v>
      </c>
      <c r="G63" s="5">
        <v>12.235508219947731</v>
      </c>
    </row>
    <row r="64" spans="1:7" x14ac:dyDescent="0.35">
      <c r="A64" s="1" t="s">
        <v>19</v>
      </c>
      <c r="B64" s="1">
        <v>2021</v>
      </c>
      <c r="C64" s="4">
        <v>553361</v>
      </c>
      <c r="D64" s="6">
        <v>113391770535</v>
      </c>
      <c r="E64" s="6">
        <v>204914.64077699729</v>
      </c>
      <c r="F64" s="4">
        <v>54556</v>
      </c>
      <c r="G64" s="5">
        <v>10.142990688466901</v>
      </c>
    </row>
    <row r="65" spans="1:7" x14ac:dyDescent="0.35">
      <c r="A65" s="1" t="s">
        <v>19</v>
      </c>
      <c r="B65" s="1">
        <v>2022</v>
      </c>
      <c r="C65" s="4">
        <v>630276</v>
      </c>
      <c r="D65" s="6">
        <v>118936946767</v>
      </c>
      <c r="E65" s="6">
        <v>188706.13313373821</v>
      </c>
      <c r="F65" s="4">
        <v>74777</v>
      </c>
      <c r="G65" s="5">
        <v>8.428741457934926</v>
      </c>
    </row>
    <row r="66" spans="1:7" x14ac:dyDescent="0.35">
      <c r="A66" s="1" t="s">
        <v>19</v>
      </c>
      <c r="B66" s="1">
        <v>2023</v>
      </c>
      <c r="C66" s="4">
        <v>646423</v>
      </c>
      <c r="D66" s="6">
        <v>129254619543</v>
      </c>
      <c r="E66" s="6">
        <v>199953.62099275549</v>
      </c>
      <c r="F66" s="4">
        <v>88073</v>
      </c>
      <c r="G66" s="5">
        <v>7.339627354580859</v>
      </c>
    </row>
    <row r="67" spans="1:7" x14ac:dyDescent="0.35">
      <c r="A67" s="1" t="s">
        <v>19</v>
      </c>
      <c r="B67" s="1">
        <v>2024</v>
      </c>
      <c r="C67" s="4">
        <v>634691</v>
      </c>
      <c r="D67" s="6">
        <v>138681230321</v>
      </c>
      <c r="E67" s="6">
        <v>218501.96445356871</v>
      </c>
      <c r="F67" s="4">
        <v>96329</v>
      </c>
      <c r="G67" s="5">
        <v>6.5887842705727246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>
      <selection activeCell="F26" sqref="F26"/>
    </sheetView>
  </sheetViews>
  <sheetFormatPr defaultRowHeight="14.5" x14ac:dyDescent="0.35"/>
  <cols>
    <col min="1" max="1" width="24" customWidth="1"/>
    <col min="2" max="2" width="13" customWidth="1"/>
    <col min="3" max="4" width="17" customWidth="1"/>
    <col min="5" max="5" width="22" customWidth="1"/>
    <col min="6" max="6" width="20" customWidth="1"/>
    <col min="7" max="7" width="13" customWidth="1"/>
    <col min="8" max="8" width="21" customWidth="1"/>
    <col min="9" max="9" width="23" customWidth="1"/>
  </cols>
  <sheetData>
    <row r="1" spans="1:9" x14ac:dyDescent="0.35">
      <c r="A1" s="2" t="s">
        <v>2</v>
      </c>
      <c r="B1" s="2" t="s">
        <v>3</v>
      </c>
      <c r="C1" s="2" t="s">
        <v>44</v>
      </c>
      <c r="D1" s="2" t="s">
        <v>45</v>
      </c>
      <c r="E1" s="2" t="s">
        <v>46</v>
      </c>
      <c r="F1" s="2" t="s">
        <v>7</v>
      </c>
      <c r="G1" s="2" t="s">
        <v>8</v>
      </c>
      <c r="H1" s="2" t="s">
        <v>47</v>
      </c>
      <c r="I1" s="2" t="s">
        <v>10</v>
      </c>
    </row>
    <row r="2" spans="1:9" x14ac:dyDescent="0.35">
      <c r="A2" s="1" t="s">
        <v>11</v>
      </c>
      <c r="B2" s="1" t="s">
        <v>12</v>
      </c>
      <c r="C2" s="4">
        <v>8247941</v>
      </c>
      <c r="D2" s="4">
        <v>8910554</v>
      </c>
      <c r="E2" s="3">
        <v>1.557460406080291E-2</v>
      </c>
      <c r="F2" s="4">
        <v>9626399.1930732783</v>
      </c>
      <c r="G2" s="4">
        <v>8703103</v>
      </c>
      <c r="H2" s="4">
        <v>-923296.19307327829</v>
      </c>
      <c r="I2" s="3">
        <v>-9.5912934271169689E-2</v>
      </c>
    </row>
    <row r="3" spans="1:9" x14ac:dyDescent="0.35">
      <c r="A3" s="1" t="s">
        <v>13</v>
      </c>
      <c r="B3" s="1" t="s">
        <v>14</v>
      </c>
      <c r="C3" s="4">
        <v>4532491</v>
      </c>
      <c r="D3" s="4">
        <v>7590595</v>
      </c>
      <c r="E3" s="3">
        <v>0.10863292878103011</v>
      </c>
      <c r="F3" s="4">
        <v>12712023.576886309</v>
      </c>
      <c r="G3" s="4">
        <v>8325157</v>
      </c>
      <c r="H3" s="4">
        <v>-4386866.5768863112</v>
      </c>
      <c r="I3" s="3">
        <v>-0.34509584963819212</v>
      </c>
    </row>
    <row r="4" spans="1:9" x14ac:dyDescent="0.35">
      <c r="A4" s="1" t="s">
        <v>15</v>
      </c>
      <c r="B4" s="1" t="s">
        <v>12</v>
      </c>
      <c r="C4" s="4">
        <v>2163947</v>
      </c>
      <c r="D4" s="4">
        <v>2419609</v>
      </c>
      <c r="E4" s="3">
        <v>2.2585697923509059E-2</v>
      </c>
      <c r="F4" s="4">
        <v>2705476.4801915218</v>
      </c>
      <c r="G4" s="4">
        <v>2627947</v>
      </c>
      <c r="H4" s="4">
        <v>-77529.480191521812</v>
      </c>
      <c r="I4" s="3">
        <v>-2.8656497574147628E-2</v>
      </c>
    </row>
    <row r="5" spans="1:9" x14ac:dyDescent="0.35">
      <c r="A5" s="1" t="s">
        <v>16</v>
      </c>
      <c r="B5" s="1" t="s">
        <v>17</v>
      </c>
      <c r="C5" s="4">
        <v>317472</v>
      </c>
      <c r="D5" s="4">
        <v>334764</v>
      </c>
      <c r="E5" s="3">
        <v>1.0663692263802821E-2</v>
      </c>
      <c r="F5" s="4">
        <v>352997.85712125793</v>
      </c>
      <c r="G5" s="4">
        <v>337661</v>
      </c>
      <c r="H5" s="4">
        <v>-15336.85712125793</v>
      </c>
      <c r="I5" s="3">
        <v>-4.3447451059142203E-2</v>
      </c>
    </row>
    <row r="6" spans="1:9" x14ac:dyDescent="0.35">
      <c r="A6" s="1" t="s">
        <v>18</v>
      </c>
      <c r="B6" s="1" t="s">
        <v>17</v>
      </c>
      <c r="C6" s="4">
        <v>7408928</v>
      </c>
      <c r="D6" s="4">
        <v>7908703</v>
      </c>
      <c r="E6" s="3">
        <v>1.314120438734623E-2</v>
      </c>
      <c r="F6" s="4">
        <v>8442190.7112890035</v>
      </c>
      <c r="G6" s="4">
        <v>8230299</v>
      </c>
      <c r="H6" s="4">
        <v>-211891.71128900349</v>
      </c>
      <c r="I6" s="3">
        <v>-2.5099138190003131E-2</v>
      </c>
    </row>
    <row r="7" spans="1:9" x14ac:dyDescent="0.35">
      <c r="A7" s="1" t="s">
        <v>19</v>
      </c>
      <c r="B7" s="1" t="s">
        <v>12</v>
      </c>
      <c r="C7" s="4">
        <v>310568</v>
      </c>
      <c r="D7" s="4">
        <v>456311</v>
      </c>
      <c r="E7" s="3">
        <v>7.999276616324047E-2</v>
      </c>
      <c r="F7" s="4">
        <v>670448.11030434549</v>
      </c>
      <c r="G7" s="4">
        <v>634691</v>
      </c>
      <c r="H7" s="4">
        <v>-35757.110304345493</v>
      </c>
      <c r="I7" s="3">
        <v>-5.3333150999730301E-2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/>
  </sheetViews>
  <sheetFormatPr defaultRowHeight="14.5" x14ac:dyDescent="0.35"/>
  <cols>
    <col min="1" max="1" width="13" customWidth="1"/>
    <col min="2" max="2" width="36" customWidth="1"/>
    <col min="3" max="3" width="29" customWidth="1"/>
    <col min="4" max="4" width="22" customWidth="1"/>
    <col min="5" max="5" width="19" customWidth="1"/>
    <col min="6" max="6" width="21" customWidth="1"/>
  </cols>
  <sheetData>
    <row r="1" spans="1:6" x14ac:dyDescent="0.35">
      <c r="A1" s="2" t="s">
        <v>3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</row>
    <row r="2" spans="1:6" x14ac:dyDescent="0.35">
      <c r="A2" s="1" t="s">
        <v>12</v>
      </c>
      <c r="B2" s="1" t="s">
        <v>53</v>
      </c>
      <c r="C2" s="3">
        <v>1.7035886735035829E-4</v>
      </c>
      <c r="D2" s="3">
        <v>-5.9300860948349209E-2</v>
      </c>
      <c r="E2" s="4">
        <v>11965741</v>
      </c>
      <c r="F2" s="4">
        <v>13002323.78356915</v>
      </c>
    </row>
    <row r="3" spans="1:6" x14ac:dyDescent="0.35">
      <c r="A3" s="1" t="s">
        <v>17</v>
      </c>
      <c r="B3" s="1" t="s">
        <v>54</v>
      </c>
      <c r="C3" s="3">
        <v>3.5340554634026859E-3</v>
      </c>
      <c r="D3" s="3">
        <v>-3.4273294624572667E-2</v>
      </c>
      <c r="E3" s="4">
        <v>8567960</v>
      </c>
      <c r="F3" s="4">
        <v>8795188.5684102606</v>
      </c>
    </row>
    <row r="4" spans="1:6" x14ac:dyDescent="0.35">
      <c r="A4" s="1" t="s">
        <v>14</v>
      </c>
      <c r="B4" s="1" t="s">
        <v>13</v>
      </c>
      <c r="C4" s="3">
        <v>2.710479631421658E-2</v>
      </c>
      <c r="D4" s="3">
        <v>-0.34509584963819212</v>
      </c>
      <c r="E4" s="4">
        <v>8325157</v>
      </c>
      <c r="F4" s="4">
        <v>12712023.576886309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showGridLines="0" workbookViewId="0">
      <selection sqref="A1:H1"/>
    </sheetView>
  </sheetViews>
  <sheetFormatPr defaultRowHeight="14.5" x14ac:dyDescent="0.35"/>
  <cols>
    <col min="1" max="1" width="40" customWidth="1"/>
    <col min="2" max="2" width="70" customWidth="1"/>
    <col min="3" max="8" width="10" customWidth="1"/>
  </cols>
  <sheetData>
    <row r="1" spans="1:8" ht="23.5" x14ac:dyDescent="0.35">
      <c r="A1" s="11" t="s">
        <v>55</v>
      </c>
      <c r="B1" s="10"/>
      <c r="C1" s="10"/>
      <c r="D1" s="10"/>
      <c r="E1" s="10"/>
      <c r="F1" s="10"/>
      <c r="G1" s="10"/>
      <c r="H1" s="10"/>
    </row>
    <row r="2" spans="1:8" x14ac:dyDescent="0.35">
      <c r="A2" s="9" t="s">
        <v>56</v>
      </c>
      <c r="B2" s="10"/>
      <c r="C2" s="10"/>
      <c r="D2" s="10"/>
      <c r="E2" s="10"/>
      <c r="F2" s="10"/>
      <c r="G2" s="10"/>
      <c r="H2" s="10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ht="29" x14ac:dyDescent="0.35">
      <c r="A4" s="2" t="s">
        <v>4</v>
      </c>
      <c r="B4" s="2" t="s">
        <v>57</v>
      </c>
      <c r="C4" s="1"/>
      <c r="D4" s="1"/>
      <c r="E4" s="1"/>
      <c r="F4" s="1"/>
      <c r="G4" s="1"/>
      <c r="H4" s="1"/>
    </row>
    <row r="5" spans="1:8" x14ac:dyDescent="0.35">
      <c r="A5" s="7" t="s">
        <v>5</v>
      </c>
      <c r="B5" s="8" t="s">
        <v>58</v>
      </c>
      <c r="C5" s="1"/>
      <c r="D5" s="1"/>
      <c r="E5" s="1"/>
      <c r="F5" s="1"/>
      <c r="G5" s="1"/>
      <c r="H5" s="1"/>
    </row>
    <row r="6" spans="1:8" x14ac:dyDescent="0.35">
      <c r="A6" s="7" t="s">
        <v>6</v>
      </c>
      <c r="B6" s="8" t="s">
        <v>59</v>
      </c>
      <c r="C6" s="1"/>
      <c r="D6" s="1"/>
      <c r="E6" s="1"/>
      <c r="F6" s="1"/>
      <c r="G6" s="1"/>
      <c r="H6" s="1"/>
    </row>
    <row r="7" spans="1:8" x14ac:dyDescent="0.35">
      <c r="A7" s="7" t="s">
        <v>7</v>
      </c>
      <c r="B7" s="8" t="s">
        <v>60</v>
      </c>
      <c r="C7" s="1"/>
      <c r="D7" s="1"/>
      <c r="E7" s="1"/>
      <c r="F7" s="1"/>
      <c r="G7" s="1"/>
      <c r="H7" s="1"/>
    </row>
    <row r="8" spans="1:8" ht="29" x14ac:dyDescent="0.35">
      <c r="A8" s="7" t="s">
        <v>61</v>
      </c>
      <c r="B8" s="8" t="s">
        <v>62</v>
      </c>
      <c r="C8" s="1"/>
      <c r="D8" s="1"/>
      <c r="E8" s="1"/>
      <c r="F8" s="1"/>
      <c r="G8" s="1"/>
      <c r="H8" s="1"/>
    </row>
    <row r="9" spans="1:8" ht="29" x14ac:dyDescent="0.35">
      <c r="A9" s="7" t="s">
        <v>63</v>
      </c>
      <c r="B9" s="8" t="s">
        <v>64</v>
      </c>
      <c r="C9" s="1"/>
      <c r="D9" s="1"/>
      <c r="E9" s="1"/>
      <c r="F9" s="1"/>
      <c r="G9" s="1"/>
      <c r="H9" s="1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 Period Dashboard</vt:lpstr>
      <vt:lpstr>Period Metrics</vt:lpstr>
      <vt:lpstr>Annual Detail</vt:lpstr>
      <vt:lpstr>Expected vs Actual</vt:lpstr>
      <vt:lpstr>AI Exposure Groups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DaSilva Morais, Jessica Ines - (jdasilvamorais)</cp:lastModifiedBy>
  <dcterms:created xsi:type="dcterms:W3CDTF">2026-04-30T23:36:25Z</dcterms:created>
  <dcterms:modified xsi:type="dcterms:W3CDTF">2026-05-02T03:28:40Z</dcterms:modified>
</cp:coreProperties>
</file>