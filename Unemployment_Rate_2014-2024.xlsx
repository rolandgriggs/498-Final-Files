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dasilvamorais_arizona_edu/Documents/UofA/UA_SPRING_26/BAT 498/"/>
    </mc:Choice>
  </mc:AlternateContent>
  <xr:revisionPtr revIDLastSave="75" documentId="8_{5F99CD53-E0DB-48C1-8725-21D1DEDDE281}" xr6:coauthVersionLast="47" xr6:coauthVersionMax="47" xr10:uidLastSave="{5398EDDA-8945-4D67-9C21-A8DB6DB46E68}"/>
  <bookViews>
    <workbookView minimized="1" xWindow="2160" yWindow="3570" windowWidth="19200" windowHeight="11170" xr2:uid="{FEA6FB2E-7F74-42F4-B9A1-1AFC46AFB7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2" i="1"/>
  <c r="E12" i="1" l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<sst xmlns="http://schemas.openxmlformats.org/spreadsheetml/2006/main" count="6" uniqueCount="6">
  <si>
    <t>Total</t>
  </si>
  <si>
    <t>Month</t>
  </si>
  <si>
    <t>Average</t>
  </si>
  <si>
    <t>Year</t>
  </si>
  <si>
    <t>Population</t>
  </si>
  <si>
    <t xml:space="preserve">Uemployment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</si>
</sst>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7"/>
      <color rgb="FF000000"/>
      <name val="Tahoma"/>
      <family val="2"/>
    </font>
    <font>
      <b/>
      <sz val="7"/>
      <color rgb="FF333333"/>
      <name val="Tahoma"/>
      <family val="2"/>
    </font>
    <font>
      <sz val="7"/>
      <color rgb="FF000000"/>
      <name val="Tahoma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8"/>
      <color rgb="FF21252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DBEAFF"/>
        <bgColor indexed="64"/>
      </patternFill>
    </fill>
    <fill>
      <patternFill patternType="solid">
        <fgColor rgb="FFEEF4FF"/>
        <bgColor indexed="64"/>
      </patternFill>
    </fill>
  </fills>
  <borders count="2">
    <border>
      <left/>
      <right/>
      <top/>
      <bottom/>
      <diagonal/>
    </border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center" wrapText="1"/>
    </xf>
    <xf numFmtId="17" fontId="2" fillId="4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right" vertical="center" wrapText="1"/>
    </xf>
    <xf numFmtId="17" fontId="2" fillId="5" borderId="1" xfId="0" applyNumberFormat="1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right" vertical="center" wrapText="1"/>
    </xf>
    <xf numFmtId="0" fontId="3" fillId="6" borderId="0" xfId="0" applyFont="1" applyFill="1" applyAlignment="1">
      <alignment horizontal="right" vertical="center" wrapText="1"/>
    </xf>
    <xf numFmtId="0" fontId="4" fillId="0" borderId="0" xfId="0" applyFont="1"/>
    <xf numFmtId="0" fontId="5" fillId="2" borderId="0" xfId="0" applyFont="1" applyFill="1" applyAlignment="1">
      <alignment horizontal="right" vertical="center" wrapText="1"/>
    </xf>
    <xf numFmtId="2" fontId="4" fillId="0" borderId="0" xfId="0" applyNumberFormat="1" applyFont="1"/>
    <xf numFmtId="3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Sheet1!$E$2:$E$12</c:f>
              <c:numCache>
                <c:formatCode>0.00</c:formatCode>
                <c:ptCount val="11"/>
                <c:pt idx="0">
                  <c:v>6.1583333333333341</c:v>
                </c:pt>
                <c:pt idx="1">
                  <c:v>5.2750000000000004</c:v>
                </c:pt>
                <c:pt idx="2">
                  <c:v>4.875</c:v>
                </c:pt>
                <c:pt idx="3">
                  <c:v>4.3583333333333334</c:v>
                </c:pt>
                <c:pt idx="4">
                  <c:v>3.8916666666666662</c:v>
                </c:pt>
                <c:pt idx="5">
                  <c:v>3.6750000000000007</c:v>
                </c:pt>
                <c:pt idx="6">
                  <c:v>8.1000000000000014</c:v>
                </c:pt>
                <c:pt idx="7">
                  <c:v>5.3500000000000014</c:v>
                </c:pt>
                <c:pt idx="8">
                  <c:v>3.6500000000000008</c:v>
                </c:pt>
                <c:pt idx="9">
                  <c:v>3.6090909090909093</c:v>
                </c:pt>
                <c:pt idx="10">
                  <c:v>4.0250000000000004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43-48EC-8F27-31B0064B2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6176512"/>
        <c:axId val="534824048"/>
      </c:lineChart>
      <c:catAx>
        <c:axId val="346176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824048"/>
        <c:crosses val="autoZero"/>
        <c:auto val="1"/>
        <c:lblAlgn val="ctr"/>
        <c:lblOffset val="100"/>
        <c:noMultiLvlLbl val="0"/>
      </c:catAx>
      <c:valAx>
        <c:axId val="534824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17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U.S</a:t>
            </a:r>
            <a:r>
              <a:rPr lang="en-US" baseline="0"/>
              <a:t> Civilian Unemployment, 2014-2024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Sheet1!$C$2:$C$12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xVal>
          <c:yVal>
            <c:numRef>
              <c:f>Sheet1!$E$2:$E$12</c:f>
              <c:numCache>
                <c:formatCode>0.00</c:formatCode>
                <c:ptCount val="11"/>
                <c:pt idx="0">
                  <c:v>6.1583333333333341</c:v>
                </c:pt>
                <c:pt idx="1">
                  <c:v>5.2750000000000004</c:v>
                </c:pt>
                <c:pt idx="2">
                  <c:v>4.875</c:v>
                </c:pt>
                <c:pt idx="3">
                  <c:v>4.3583333333333334</c:v>
                </c:pt>
                <c:pt idx="4">
                  <c:v>3.8916666666666662</c:v>
                </c:pt>
                <c:pt idx="5">
                  <c:v>3.6750000000000007</c:v>
                </c:pt>
                <c:pt idx="6">
                  <c:v>8.1000000000000014</c:v>
                </c:pt>
                <c:pt idx="7">
                  <c:v>5.3500000000000014</c:v>
                </c:pt>
                <c:pt idx="8">
                  <c:v>3.6500000000000008</c:v>
                </c:pt>
                <c:pt idx="9">
                  <c:v>3.6090909090909093</c:v>
                </c:pt>
                <c:pt idx="10">
                  <c:v>4.0250000000000004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CA-49D9-B64A-E0F131B346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7770848"/>
        <c:axId val="547768928"/>
      </c:scatterChart>
      <c:valAx>
        <c:axId val="547770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68928"/>
        <c:crosses val="autoZero"/>
        <c:crossBetween val="midCat"/>
      </c:valAx>
      <c:valAx>
        <c:axId val="547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7770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Sheet1!$C$2:$C$12</c:f>
              <c:numCache>
                <c:formatCode>General</c:formatCod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B54-4001-88FB-11DBC1888E0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Sheet1!$F$2:$F$12</c:f>
              <c:numCache>
                <c:formatCode>General</c:formatCode>
                <c:ptCount val="11"/>
                <c:pt idx="0">
                  <c:v>19607291.427583337</c:v>
                </c:pt>
                <c:pt idx="1">
                  <c:v>16918981.933500003</c:v>
                </c:pt>
                <c:pt idx="2">
                  <c:v>15749748.05625</c:v>
                </c:pt>
                <c:pt idx="3">
                  <c:v>14169906.078666667</c:v>
                </c:pt>
                <c:pt idx="4">
                  <c:v>12719453.244416665</c:v>
                </c:pt>
                <c:pt idx="5">
                  <c:v>12066125.772750001</c:v>
                </c:pt>
                <c:pt idx="6">
                  <c:v>26853681.573000006</c:v>
                </c:pt>
                <c:pt idx="7">
                  <c:v>17764620.269500006</c:v>
                </c:pt>
                <c:pt idx="8">
                  <c:v>12164406.501500001</c:v>
                </c:pt>
                <c:pt idx="9">
                  <c:v>12087383.028636364</c:v>
                </c:pt>
                <c:pt idx="10">
                  <c:v>13758030.405000001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4-4001-88FB-11DBC1888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4445616"/>
        <c:axId val="654446096"/>
      </c:lineChart>
      <c:catAx>
        <c:axId val="6544456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46096"/>
        <c:crosses val="autoZero"/>
        <c:auto val="1"/>
        <c:lblAlgn val="ctr"/>
        <c:lblOffset val="100"/>
        <c:noMultiLvlLbl val="0"/>
      </c:catAx>
      <c:valAx>
        <c:axId val="65444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444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117475</xdr:colOff>
      <xdr:row>10</xdr:row>
      <xdr:rowOff>60325</xdr:rowOff>
    </xdr:from>
    <xdr:to>
      <xdr:col>17</xdr:col>
      <xdr:colOff>422275</xdr:colOff>
      <xdr:row>24</xdr:row>
      <xdr:rowOff>136525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39776F-45F0-20C1-5B22-4E0D05B89A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117474</xdr:colOff>
      <xdr:row>10</xdr:row>
      <xdr:rowOff>60324</xdr:rowOff>
    </xdr:from>
    <xdr:to>
      <xdr:col>20</xdr:col>
      <xdr:colOff>101599</xdr:colOff>
      <xdr:row>26</xdr:row>
      <xdr:rowOff>38099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C8EBDF-9C93-05E7-3CB1-5F6AF11FDE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257175</xdr:colOff>
      <xdr:row>3</xdr:row>
      <xdr:rowOff>9525</xdr:rowOff>
    </xdr:from>
    <xdr:to>
      <xdr:col>12</xdr:col>
      <xdr:colOff>415925</xdr:colOff>
      <xdr:row>16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4845841-959B-5F13-D426-F65EF05628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22034-0B97-43BF-87E4-231E37331D73}">
  <dimension ref="A1:F133"/>
  <sheetViews>
    <sheetView tabSelected="1" workbookViewId="0">
      <selection activeCell="F2" activeCellId="1" sqref="C2:C12 F2:F12"/>
    </sheetView>
  </sheetViews>
  <sheetFormatPr defaultRowHeight="14.5" x14ac:dyDescent="0.35"/>
  <cols>
    <col min="3" max="3" width="8.81640625" bestFit="1" customWidth="1"/>
    <col min="4" max="4" width="15.81640625" customWidth="1"/>
    <col min="5" max="5" width="9.453125" bestFit="1" customWidth="1"/>
    <col min="6" max="6" width="10.81640625" bestFit="1" customWidth="1"/>
  </cols>
  <sheetData>
    <row r="1" spans="1:6" ht="16" thickBot="1" x14ac:dyDescent="0.4">
      <c r="A1" s="1" t="s">
        <v>1</v>
      </c>
      <c r="B1" s="1" t="s">
        <v>0</v>
      </c>
      <c r="C1" s="8" t="s">
        <v>3</v>
      </c>
      <c r="D1" s="8" t="s">
        <v>4</v>
      </c>
      <c r="E1" s="8" t="s">
        <v>2</v>
      </c>
      <c r="F1" s="8" t="s">
        <v>5</v>
      </c>
    </row>
    <row r="2" spans="1:6" ht="16" thickBot="1" x14ac:dyDescent="0.4">
      <c r="A2" s="2">
        <v>41640</v>
      </c>
      <c r="B2" s="3">
        <v>6.6</v>
      </c>
      <c r="C2" s="9">
        <v>2014</v>
      </c>
      <c r="D2" s="11">
        <v>318386329</v>
      </c>
      <c r="E2" s="10">
        <f>AVERAGE(B2:B13)</f>
        <v>6.1583333333333341</v>
      </c>
      <c r="F2">
        <f>D2*(E2/100)</f>
        <v>19607291.427583337</v>
      </c>
    </row>
    <row r="3" spans="1:6" ht="16" thickBot="1" x14ac:dyDescent="0.4">
      <c r="A3" s="4">
        <v>41671</v>
      </c>
      <c r="B3" s="5">
        <v>6.7</v>
      </c>
      <c r="C3" s="9">
        <v>2015</v>
      </c>
      <c r="D3" s="11">
        <v>320738994</v>
      </c>
      <c r="E3" s="10">
        <f>AVERAGE(B14:B25)</f>
        <v>5.2750000000000004</v>
      </c>
      <c r="F3">
        <f t="shared" ref="F3:F12" si="0">D3*(E3/100)</f>
        <v>16918981.933500003</v>
      </c>
    </row>
    <row r="4" spans="1:6" ht="16" thickBot="1" x14ac:dyDescent="0.4">
      <c r="A4" s="2">
        <v>41699</v>
      </c>
      <c r="B4" s="3">
        <v>6.7</v>
      </c>
      <c r="C4" s="9">
        <v>2016</v>
      </c>
      <c r="D4" s="11">
        <v>323071755</v>
      </c>
      <c r="E4" s="10">
        <f>AVERAGE(B26:B37)</f>
        <v>4.875</v>
      </c>
      <c r="F4">
        <f t="shared" si="0"/>
        <v>15749748.05625</v>
      </c>
    </row>
    <row r="5" spans="1:6" ht="16" thickBot="1" x14ac:dyDescent="0.4">
      <c r="A5" s="4">
        <v>41730</v>
      </c>
      <c r="B5" s="5">
        <v>6.2</v>
      </c>
      <c r="C5" s="9">
        <v>2017</v>
      </c>
      <c r="D5" s="11">
        <v>325122128</v>
      </c>
      <c r="E5" s="10">
        <f>AVERAGE(B38:B49)</f>
        <v>4.3583333333333334</v>
      </c>
      <c r="F5">
        <f t="shared" si="0"/>
        <v>14169906.078666667</v>
      </c>
    </row>
    <row r="6" spans="1:6" ht="16" thickBot="1" x14ac:dyDescent="0.4">
      <c r="A6" s="2">
        <v>41760</v>
      </c>
      <c r="B6" s="3">
        <v>6.3</v>
      </c>
      <c r="C6" s="9">
        <v>2018</v>
      </c>
      <c r="D6" s="11">
        <v>326838199</v>
      </c>
      <c r="E6" s="10">
        <f>AVERAGE(B50:B61)</f>
        <v>3.8916666666666662</v>
      </c>
      <c r="F6">
        <f t="shared" si="0"/>
        <v>12719453.244416665</v>
      </c>
    </row>
    <row r="7" spans="1:6" ht="16" thickBot="1" x14ac:dyDescent="0.4">
      <c r="A7" s="4">
        <v>41791</v>
      </c>
      <c r="B7" s="5">
        <v>6.1</v>
      </c>
      <c r="C7" s="9">
        <v>2019</v>
      </c>
      <c r="D7" s="11">
        <v>328329953</v>
      </c>
      <c r="E7" s="10">
        <f>AVERAGE(B62:B73)</f>
        <v>3.6750000000000007</v>
      </c>
      <c r="F7">
        <f t="shared" si="0"/>
        <v>12066125.772750001</v>
      </c>
    </row>
    <row r="8" spans="1:6" ht="16" thickBot="1" x14ac:dyDescent="0.4">
      <c r="A8" s="2">
        <v>41821</v>
      </c>
      <c r="B8" s="3">
        <v>6.2</v>
      </c>
      <c r="C8" s="9">
        <v>2020</v>
      </c>
      <c r="D8" s="11">
        <v>331526933</v>
      </c>
      <c r="E8" s="10">
        <f>AVERAGE(B74:B85)</f>
        <v>8.1000000000000014</v>
      </c>
      <c r="F8">
        <f t="shared" si="0"/>
        <v>26853681.573000006</v>
      </c>
    </row>
    <row r="9" spans="1:6" ht="16" thickBot="1" x14ac:dyDescent="0.4">
      <c r="A9" s="4">
        <v>41852</v>
      </c>
      <c r="B9" s="5">
        <v>6.1</v>
      </c>
      <c r="C9" s="9">
        <v>2021</v>
      </c>
      <c r="D9" s="11">
        <v>332048977</v>
      </c>
      <c r="E9" s="10">
        <f>AVERAGE(B86:B97)</f>
        <v>5.3500000000000014</v>
      </c>
      <c r="F9">
        <f t="shared" si="0"/>
        <v>17764620.269500006</v>
      </c>
    </row>
    <row r="10" spans="1:6" ht="16" thickBot="1" x14ac:dyDescent="0.4">
      <c r="A10" s="2">
        <v>41883</v>
      </c>
      <c r="B10" s="3">
        <v>5.9</v>
      </c>
      <c r="C10" s="9">
        <v>2022</v>
      </c>
      <c r="D10" s="11">
        <v>333271411</v>
      </c>
      <c r="E10" s="10">
        <f>AVERAGE(B98:B109)</f>
        <v>3.6500000000000008</v>
      </c>
      <c r="F10">
        <f t="shared" si="0"/>
        <v>12164406.501500001</v>
      </c>
    </row>
    <row r="11" spans="1:6" ht="16" thickBot="1" x14ac:dyDescent="0.4">
      <c r="A11" s="4">
        <v>41913</v>
      </c>
      <c r="B11" s="5">
        <v>5.7</v>
      </c>
      <c r="C11" s="9">
        <v>2023</v>
      </c>
      <c r="D11" s="11">
        <v>334914895</v>
      </c>
      <c r="E11" s="10">
        <f>AVERAGE(B110:B120)</f>
        <v>3.6090909090909093</v>
      </c>
      <c r="F11">
        <f t="shared" si="0"/>
        <v>12087383.028636364</v>
      </c>
    </row>
    <row r="12" spans="1:6" ht="16" thickBot="1" x14ac:dyDescent="0.4">
      <c r="A12" s="2">
        <v>41944</v>
      </c>
      <c r="B12" s="3">
        <v>5.8</v>
      </c>
      <c r="C12" s="9">
        <v>2024</v>
      </c>
      <c r="D12" s="11">
        <v>341814420</v>
      </c>
      <c r="E12" s="10">
        <f>AVERAGE(B122:B133)</f>
        <v>4.0250000000000004</v>
      </c>
      <c r="F12">
        <f t="shared" si="0"/>
        <v>13758030.405000001</v>
      </c>
    </row>
    <row r="13" spans="1:6" ht="15" thickBot="1" x14ac:dyDescent="0.4">
      <c r="A13" s="4">
        <v>41974</v>
      </c>
      <c r="B13" s="5">
        <v>5.6</v>
      </c>
      <c r="C13" s="6"/>
      <c r="D13" s="6"/>
    </row>
    <row r="14" spans="1:6" ht="15" thickBot="1" x14ac:dyDescent="0.4">
      <c r="A14" s="2">
        <v>42005</v>
      </c>
      <c r="B14" s="3">
        <v>5.7</v>
      </c>
      <c r="C14" s="6"/>
      <c r="D14" s="6"/>
    </row>
    <row r="15" spans="1:6" ht="15" thickBot="1" x14ac:dyDescent="0.4">
      <c r="A15" s="4">
        <v>42036</v>
      </c>
      <c r="B15" s="5">
        <v>5.5</v>
      </c>
      <c r="C15" s="7"/>
      <c r="D15" s="7"/>
    </row>
    <row r="16" spans="1:6" ht="15" thickBot="1" x14ac:dyDescent="0.4">
      <c r="A16" s="2">
        <v>42064</v>
      </c>
      <c r="B16" s="3">
        <v>5.4</v>
      </c>
      <c r="C16" s="6"/>
      <c r="D16" s="6"/>
    </row>
    <row r="17" spans="1:4" ht="15" thickBot="1" x14ac:dyDescent="0.4">
      <c r="A17" s="4">
        <v>42095</v>
      </c>
      <c r="B17" s="5">
        <v>5.4</v>
      </c>
      <c r="C17" s="7"/>
      <c r="D17" s="7"/>
    </row>
    <row r="18" spans="1:4" ht="15" thickBot="1" x14ac:dyDescent="0.4">
      <c r="A18" s="2">
        <v>42125</v>
      </c>
      <c r="B18" s="3">
        <v>5.6</v>
      </c>
      <c r="C18" s="6"/>
      <c r="D18" s="6"/>
    </row>
    <row r="19" spans="1:4" ht="15" thickBot="1" x14ac:dyDescent="0.4">
      <c r="A19" s="4">
        <v>42156</v>
      </c>
      <c r="B19" s="5">
        <v>5.3</v>
      </c>
      <c r="C19" s="7"/>
      <c r="D19" s="7"/>
    </row>
    <row r="20" spans="1:4" ht="15" thickBot="1" x14ac:dyDescent="0.4">
      <c r="A20" s="2">
        <v>42186</v>
      </c>
      <c r="B20" s="3">
        <v>5.2</v>
      </c>
      <c r="C20" s="6"/>
      <c r="D20" s="6"/>
    </row>
    <row r="21" spans="1:4" ht="15" thickBot="1" x14ac:dyDescent="0.4">
      <c r="A21" s="4">
        <v>42217</v>
      </c>
      <c r="B21" s="5">
        <v>5.0999999999999996</v>
      </c>
      <c r="C21" s="7"/>
      <c r="D21" s="7"/>
    </row>
    <row r="22" spans="1:4" ht="15" thickBot="1" x14ac:dyDescent="0.4">
      <c r="A22" s="2">
        <v>42248</v>
      </c>
      <c r="B22" s="3">
        <v>5</v>
      </c>
      <c r="C22" s="6"/>
      <c r="D22" s="6"/>
    </row>
    <row r="23" spans="1:4" ht="15" thickBot="1" x14ac:dyDescent="0.4">
      <c r="A23" s="4">
        <v>42278</v>
      </c>
      <c r="B23" s="5">
        <v>5</v>
      </c>
      <c r="C23" s="7"/>
      <c r="D23" s="7"/>
    </row>
    <row r="24" spans="1:4" ht="15" thickBot="1" x14ac:dyDescent="0.4">
      <c r="A24" s="2">
        <v>42309</v>
      </c>
      <c r="B24" s="3">
        <v>5.0999999999999996</v>
      </c>
      <c r="C24" s="6"/>
      <c r="D24" s="6"/>
    </row>
    <row r="25" spans="1:4" ht="15" thickBot="1" x14ac:dyDescent="0.4">
      <c r="A25" s="4">
        <v>42339</v>
      </c>
      <c r="B25" s="5">
        <v>5</v>
      </c>
      <c r="C25" s="7"/>
      <c r="D25" s="7"/>
    </row>
    <row r="26" spans="1:4" ht="15" thickBot="1" x14ac:dyDescent="0.4">
      <c r="A26" s="2">
        <v>42370</v>
      </c>
      <c r="B26" s="3">
        <v>4.8</v>
      </c>
      <c r="C26" s="6"/>
      <c r="D26" s="6"/>
    </row>
    <row r="27" spans="1:4" ht="15" thickBot="1" x14ac:dyDescent="0.4">
      <c r="A27" s="4">
        <v>42401</v>
      </c>
      <c r="B27" s="5">
        <v>4.9000000000000004</v>
      </c>
      <c r="C27" s="7"/>
      <c r="D27" s="7"/>
    </row>
    <row r="28" spans="1:4" ht="15" thickBot="1" x14ac:dyDescent="0.4">
      <c r="A28" s="2">
        <v>42430</v>
      </c>
      <c r="B28" s="3">
        <v>5</v>
      </c>
      <c r="C28" s="6"/>
      <c r="D28" s="6"/>
    </row>
    <row r="29" spans="1:4" ht="15" thickBot="1" x14ac:dyDescent="0.4">
      <c r="A29" s="4">
        <v>42461</v>
      </c>
      <c r="B29" s="5">
        <v>5.0999999999999996</v>
      </c>
      <c r="C29" s="7"/>
      <c r="D29" s="7"/>
    </row>
    <row r="30" spans="1:4" ht="15" thickBot="1" x14ac:dyDescent="0.4">
      <c r="A30" s="2">
        <v>42491</v>
      </c>
      <c r="B30" s="3">
        <v>4.8</v>
      </c>
      <c r="C30" s="6"/>
      <c r="D30" s="6"/>
    </row>
    <row r="31" spans="1:4" ht="15" thickBot="1" x14ac:dyDescent="0.4">
      <c r="A31" s="4">
        <v>42522</v>
      </c>
      <c r="B31" s="5">
        <v>4.9000000000000004</v>
      </c>
      <c r="C31" s="7"/>
      <c r="D31" s="7"/>
    </row>
    <row r="32" spans="1:4" ht="15" thickBot="1" x14ac:dyDescent="0.4">
      <c r="A32" s="2">
        <v>42552</v>
      </c>
      <c r="B32" s="3">
        <v>4.8</v>
      </c>
      <c r="C32" s="6"/>
      <c r="D32" s="6"/>
    </row>
    <row r="33" spans="1:4" ht="15" thickBot="1" x14ac:dyDescent="0.4">
      <c r="A33" s="4">
        <v>42583</v>
      </c>
      <c r="B33" s="5">
        <v>4.9000000000000004</v>
      </c>
      <c r="C33" s="7"/>
      <c r="D33" s="7"/>
    </row>
    <row r="34" spans="1:4" ht="15" thickBot="1" x14ac:dyDescent="0.4">
      <c r="A34" s="2">
        <v>42614</v>
      </c>
      <c r="B34" s="3">
        <v>5</v>
      </c>
      <c r="C34" s="6"/>
      <c r="D34" s="6"/>
    </row>
    <row r="35" spans="1:4" ht="15" thickBot="1" x14ac:dyDescent="0.4">
      <c r="A35" s="4">
        <v>42644</v>
      </c>
      <c r="B35" s="5">
        <v>4.9000000000000004</v>
      </c>
      <c r="C35" s="7"/>
      <c r="D35" s="7"/>
    </row>
    <row r="36" spans="1:4" ht="15" thickBot="1" x14ac:dyDescent="0.4">
      <c r="A36" s="2">
        <v>42675</v>
      </c>
      <c r="B36" s="3">
        <v>4.7</v>
      </c>
      <c r="C36" s="6"/>
      <c r="D36" s="6"/>
    </row>
    <row r="37" spans="1:4" ht="15" thickBot="1" x14ac:dyDescent="0.4">
      <c r="A37" s="4">
        <v>42705</v>
      </c>
      <c r="B37" s="5">
        <v>4.7</v>
      </c>
      <c r="C37" s="7"/>
      <c r="D37" s="7"/>
    </row>
    <row r="38" spans="1:4" ht="15" thickBot="1" x14ac:dyDescent="0.4">
      <c r="A38" s="2">
        <v>42736</v>
      </c>
      <c r="B38" s="3">
        <v>4.7</v>
      </c>
      <c r="C38" s="6"/>
      <c r="D38" s="6"/>
    </row>
    <row r="39" spans="1:4" ht="15" thickBot="1" x14ac:dyDescent="0.4">
      <c r="A39" s="4">
        <v>42767</v>
      </c>
      <c r="B39" s="5">
        <v>4.5999999999999996</v>
      </c>
      <c r="C39" s="7"/>
      <c r="D39" s="7"/>
    </row>
    <row r="40" spans="1:4" ht="15" thickBot="1" x14ac:dyDescent="0.4">
      <c r="A40" s="2">
        <v>42795</v>
      </c>
      <c r="B40" s="3">
        <v>4.4000000000000004</v>
      </c>
      <c r="C40" s="6"/>
      <c r="D40" s="6"/>
    </row>
    <row r="41" spans="1:4" ht="15" thickBot="1" x14ac:dyDescent="0.4">
      <c r="A41" s="4">
        <v>42826</v>
      </c>
      <c r="B41" s="5">
        <v>4.4000000000000004</v>
      </c>
      <c r="C41" s="7"/>
      <c r="D41" s="7"/>
    </row>
    <row r="42" spans="1:4" ht="15" thickBot="1" x14ac:dyDescent="0.4">
      <c r="A42" s="2">
        <v>42856</v>
      </c>
      <c r="B42" s="3">
        <v>4.4000000000000004</v>
      </c>
      <c r="C42" s="6"/>
      <c r="D42" s="6"/>
    </row>
    <row r="43" spans="1:4" ht="15" thickBot="1" x14ac:dyDescent="0.4">
      <c r="A43" s="4">
        <v>42887</v>
      </c>
      <c r="B43" s="5">
        <v>4.3</v>
      </c>
      <c r="C43" s="7"/>
      <c r="D43" s="7"/>
    </row>
    <row r="44" spans="1:4" ht="15" thickBot="1" x14ac:dyDescent="0.4">
      <c r="A44" s="2">
        <v>42917</v>
      </c>
      <c r="B44" s="3">
        <v>4.3</v>
      </c>
      <c r="C44" s="6"/>
      <c r="D44" s="6"/>
    </row>
    <row r="45" spans="1:4" ht="15" thickBot="1" x14ac:dyDescent="0.4">
      <c r="A45" s="4">
        <v>42948</v>
      </c>
      <c r="B45" s="5">
        <v>4.4000000000000004</v>
      </c>
      <c r="C45" s="7"/>
      <c r="D45" s="7"/>
    </row>
    <row r="46" spans="1:4" ht="15" thickBot="1" x14ac:dyDescent="0.4">
      <c r="A46" s="2">
        <v>42979</v>
      </c>
      <c r="B46" s="3">
        <v>4.3</v>
      </c>
      <c r="C46" s="6"/>
      <c r="D46" s="6"/>
    </row>
    <row r="47" spans="1:4" ht="15" thickBot="1" x14ac:dyDescent="0.4">
      <c r="A47" s="4">
        <v>43009</v>
      </c>
      <c r="B47" s="5">
        <v>4.2</v>
      </c>
      <c r="C47" s="7"/>
      <c r="D47" s="7"/>
    </row>
    <row r="48" spans="1:4" ht="15" thickBot="1" x14ac:dyDescent="0.4">
      <c r="A48" s="2">
        <v>43040</v>
      </c>
      <c r="B48" s="3">
        <v>4.2</v>
      </c>
      <c r="C48" s="6"/>
      <c r="D48" s="6"/>
    </row>
    <row r="49" spans="1:4" ht="15" thickBot="1" x14ac:dyDescent="0.4">
      <c r="A49" s="4">
        <v>43070</v>
      </c>
      <c r="B49" s="5">
        <v>4.0999999999999996</v>
      </c>
      <c r="C49" s="7"/>
      <c r="D49" s="7"/>
    </row>
    <row r="50" spans="1:4" ht="15" thickBot="1" x14ac:dyDescent="0.4">
      <c r="A50" s="2">
        <v>43101</v>
      </c>
      <c r="B50" s="3">
        <v>4</v>
      </c>
      <c r="C50" s="6"/>
      <c r="D50" s="6"/>
    </row>
    <row r="51" spans="1:4" ht="15" thickBot="1" x14ac:dyDescent="0.4">
      <c r="A51" s="4">
        <v>43132</v>
      </c>
      <c r="B51" s="5">
        <v>4.0999999999999996</v>
      </c>
      <c r="C51" s="7"/>
      <c r="D51" s="7"/>
    </row>
    <row r="52" spans="1:4" ht="15" thickBot="1" x14ac:dyDescent="0.4">
      <c r="A52" s="2">
        <v>43160</v>
      </c>
      <c r="B52" s="3">
        <v>4</v>
      </c>
      <c r="C52" s="6"/>
      <c r="D52" s="6"/>
    </row>
    <row r="53" spans="1:4" ht="15" thickBot="1" x14ac:dyDescent="0.4">
      <c r="A53" s="4">
        <v>43191</v>
      </c>
      <c r="B53" s="5">
        <v>4</v>
      </c>
      <c r="C53" s="7"/>
      <c r="D53" s="7"/>
    </row>
    <row r="54" spans="1:4" ht="15" thickBot="1" x14ac:dyDescent="0.4">
      <c r="A54" s="2">
        <v>43221</v>
      </c>
      <c r="B54" s="3">
        <v>3.8</v>
      </c>
      <c r="C54" s="6"/>
      <c r="D54" s="6"/>
    </row>
    <row r="55" spans="1:4" ht="15" thickBot="1" x14ac:dyDescent="0.4">
      <c r="A55" s="4">
        <v>43252</v>
      </c>
      <c r="B55" s="5">
        <v>4</v>
      </c>
      <c r="C55" s="7"/>
      <c r="D55" s="7"/>
    </row>
    <row r="56" spans="1:4" ht="15" thickBot="1" x14ac:dyDescent="0.4">
      <c r="A56" s="2">
        <v>43282</v>
      </c>
      <c r="B56" s="3">
        <v>3.8</v>
      </c>
      <c r="C56" s="6"/>
      <c r="D56" s="6"/>
    </row>
    <row r="57" spans="1:4" ht="15" thickBot="1" x14ac:dyDescent="0.4">
      <c r="A57" s="4">
        <v>43313</v>
      </c>
      <c r="B57" s="5">
        <v>3.8</v>
      </c>
      <c r="C57" s="7"/>
      <c r="D57" s="7"/>
    </row>
    <row r="58" spans="1:4" ht="15" thickBot="1" x14ac:dyDescent="0.4">
      <c r="A58" s="2">
        <v>43344</v>
      </c>
      <c r="B58" s="3">
        <v>3.7</v>
      </c>
      <c r="C58" s="6"/>
      <c r="D58" s="6"/>
    </row>
    <row r="59" spans="1:4" ht="15" thickBot="1" x14ac:dyDescent="0.4">
      <c r="A59" s="4">
        <v>43374</v>
      </c>
      <c r="B59" s="5">
        <v>3.8</v>
      </c>
      <c r="C59" s="7"/>
      <c r="D59" s="7"/>
    </row>
    <row r="60" spans="1:4" ht="15" thickBot="1" x14ac:dyDescent="0.4">
      <c r="A60" s="2">
        <v>43405</v>
      </c>
      <c r="B60" s="3">
        <v>3.8</v>
      </c>
      <c r="C60" s="6"/>
      <c r="D60" s="6"/>
    </row>
    <row r="61" spans="1:4" ht="15" thickBot="1" x14ac:dyDescent="0.4">
      <c r="A61" s="4">
        <v>43435</v>
      </c>
      <c r="B61" s="5">
        <v>3.9</v>
      </c>
      <c r="C61" s="7"/>
      <c r="D61" s="7"/>
    </row>
    <row r="62" spans="1:4" ht="15" thickBot="1" x14ac:dyDescent="0.4">
      <c r="A62" s="2">
        <v>43466</v>
      </c>
      <c r="B62" s="3">
        <v>4</v>
      </c>
      <c r="C62" s="6"/>
      <c r="D62" s="6"/>
    </row>
    <row r="63" spans="1:4" ht="15" thickBot="1" x14ac:dyDescent="0.4">
      <c r="A63" s="4">
        <v>43497</v>
      </c>
      <c r="B63" s="5">
        <v>3.8</v>
      </c>
      <c r="C63" s="7"/>
      <c r="D63" s="7"/>
    </row>
    <row r="64" spans="1:4" ht="15" thickBot="1" x14ac:dyDescent="0.4">
      <c r="A64" s="2">
        <v>43525</v>
      </c>
      <c r="B64" s="3">
        <v>3.8</v>
      </c>
      <c r="C64" s="6"/>
      <c r="D64" s="6"/>
    </row>
    <row r="65" spans="1:4" ht="15" thickBot="1" x14ac:dyDescent="0.4">
      <c r="A65" s="4">
        <v>43556</v>
      </c>
      <c r="B65" s="5">
        <v>3.7</v>
      </c>
      <c r="C65" s="7"/>
      <c r="D65" s="7"/>
    </row>
    <row r="66" spans="1:4" ht="15" thickBot="1" x14ac:dyDescent="0.4">
      <c r="A66" s="2">
        <v>43586</v>
      </c>
      <c r="B66" s="3">
        <v>3.6</v>
      </c>
      <c r="C66" s="6"/>
      <c r="D66" s="6"/>
    </row>
    <row r="67" spans="1:4" ht="15" thickBot="1" x14ac:dyDescent="0.4">
      <c r="A67" s="4">
        <v>43617</v>
      </c>
      <c r="B67" s="5">
        <v>3.6</v>
      </c>
      <c r="C67" s="7"/>
      <c r="D67" s="7"/>
    </row>
    <row r="68" spans="1:4" ht="15" thickBot="1" x14ac:dyDescent="0.4">
      <c r="A68" s="2">
        <v>43647</v>
      </c>
      <c r="B68" s="3">
        <v>3.7</v>
      </c>
      <c r="C68" s="6"/>
      <c r="D68" s="6"/>
    </row>
    <row r="69" spans="1:4" ht="15" thickBot="1" x14ac:dyDescent="0.4">
      <c r="A69" s="4">
        <v>43678</v>
      </c>
      <c r="B69" s="5">
        <v>3.6</v>
      </c>
      <c r="C69" s="7"/>
      <c r="D69" s="7"/>
    </row>
    <row r="70" spans="1:4" ht="15" thickBot="1" x14ac:dyDescent="0.4">
      <c r="A70" s="2">
        <v>43709</v>
      </c>
      <c r="B70" s="3">
        <v>3.5</v>
      </c>
      <c r="C70" s="6"/>
      <c r="D70" s="6"/>
    </row>
    <row r="71" spans="1:4" ht="15" thickBot="1" x14ac:dyDescent="0.4">
      <c r="A71" s="4">
        <v>43739</v>
      </c>
      <c r="B71" s="5">
        <v>3.6</v>
      </c>
      <c r="C71" s="7"/>
      <c r="D71" s="7"/>
    </row>
    <row r="72" spans="1:4" ht="15" thickBot="1" x14ac:dyDescent="0.4">
      <c r="A72" s="2">
        <v>43770</v>
      </c>
      <c r="B72" s="3">
        <v>3.6</v>
      </c>
      <c r="C72" s="6"/>
      <c r="D72" s="6"/>
    </row>
    <row r="73" spans="1:4" ht="15" thickBot="1" x14ac:dyDescent="0.4">
      <c r="A73" s="4">
        <v>43800</v>
      </c>
      <c r="B73" s="5">
        <v>3.6</v>
      </c>
      <c r="C73" s="7"/>
      <c r="D73" s="7"/>
    </row>
    <row r="74" spans="1:4" ht="15" thickBot="1" x14ac:dyDescent="0.4">
      <c r="A74" s="2">
        <v>43831</v>
      </c>
      <c r="B74" s="3">
        <v>3.6</v>
      </c>
      <c r="C74" s="6"/>
      <c r="D74" s="6"/>
    </row>
    <row r="75" spans="1:4" ht="15" thickBot="1" x14ac:dyDescent="0.4">
      <c r="A75" s="4">
        <v>43862</v>
      </c>
      <c r="B75" s="5">
        <v>3.5</v>
      </c>
      <c r="C75" s="7"/>
      <c r="D75" s="7"/>
    </row>
    <row r="76" spans="1:4" ht="15" thickBot="1" x14ac:dyDescent="0.4">
      <c r="A76" s="2">
        <v>43891</v>
      </c>
      <c r="B76" s="3">
        <v>4.4000000000000004</v>
      </c>
      <c r="C76" s="6"/>
      <c r="D76" s="6"/>
    </row>
    <row r="77" spans="1:4" ht="15" thickBot="1" x14ac:dyDescent="0.4">
      <c r="A77" s="4">
        <v>43922</v>
      </c>
      <c r="B77" s="5">
        <v>14.8</v>
      </c>
      <c r="C77" s="7"/>
      <c r="D77" s="7"/>
    </row>
    <row r="78" spans="1:4" ht="15" thickBot="1" x14ac:dyDescent="0.4">
      <c r="A78" s="2">
        <v>43952</v>
      </c>
      <c r="B78" s="3">
        <v>13.2</v>
      </c>
      <c r="C78" s="6"/>
      <c r="D78" s="6"/>
    </row>
    <row r="79" spans="1:4" ht="15" thickBot="1" x14ac:dyDescent="0.4">
      <c r="A79" s="4">
        <v>43983</v>
      </c>
      <c r="B79" s="5">
        <v>11</v>
      </c>
      <c r="C79" s="7"/>
      <c r="D79" s="7"/>
    </row>
    <row r="80" spans="1:4" ht="15" thickBot="1" x14ac:dyDescent="0.4">
      <c r="A80" s="2">
        <v>44013</v>
      </c>
      <c r="B80" s="3">
        <v>10.199999999999999</v>
      </c>
      <c r="C80" s="6"/>
      <c r="D80" s="6"/>
    </row>
    <row r="81" spans="1:4" ht="15" thickBot="1" x14ac:dyDescent="0.4">
      <c r="A81" s="4">
        <v>44044</v>
      </c>
      <c r="B81" s="5">
        <v>8.4</v>
      </c>
      <c r="C81" s="7"/>
      <c r="D81" s="7"/>
    </row>
    <row r="82" spans="1:4" ht="15" thickBot="1" x14ac:dyDescent="0.4">
      <c r="A82" s="2">
        <v>44075</v>
      </c>
      <c r="B82" s="3">
        <v>7.8</v>
      </c>
      <c r="C82" s="6"/>
      <c r="D82" s="6"/>
    </row>
    <row r="83" spans="1:4" ht="15" thickBot="1" x14ac:dyDescent="0.4">
      <c r="A83" s="4">
        <v>44105</v>
      </c>
      <c r="B83" s="5">
        <v>6.9</v>
      </c>
      <c r="C83" s="7"/>
      <c r="D83" s="7"/>
    </row>
    <row r="84" spans="1:4" ht="15" thickBot="1" x14ac:dyDescent="0.4">
      <c r="A84" s="2">
        <v>44136</v>
      </c>
      <c r="B84" s="3">
        <v>6.7</v>
      </c>
      <c r="C84" s="6"/>
      <c r="D84" s="6"/>
    </row>
    <row r="85" spans="1:4" ht="15" thickBot="1" x14ac:dyDescent="0.4">
      <c r="A85" s="4">
        <v>44166</v>
      </c>
      <c r="B85" s="5">
        <v>6.7</v>
      </c>
      <c r="C85" s="7"/>
      <c r="D85" s="7"/>
    </row>
    <row r="86" spans="1:4" ht="15" thickBot="1" x14ac:dyDescent="0.4">
      <c r="A86" s="2">
        <v>44197</v>
      </c>
      <c r="B86" s="3">
        <v>6.4</v>
      </c>
      <c r="C86" s="6"/>
      <c r="D86" s="6"/>
    </row>
    <row r="87" spans="1:4" ht="15" thickBot="1" x14ac:dyDescent="0.4">
      <c r="A87" s="4">
        <v>44228</v>
      </c>
      <c r="B87" s="5">
        <v>6.2</v>
      </c>
      <c r="C87" s="7"/>
      <c r="D87" s="7"/>
    </row>
    <row r="88" spans="1:4" ht="15" thickBot="1" x14ac:dyDescent="0.4">
      <c r="A88" s="2">
        <v>44256</v>
      </c>
      <c r="B88" s="3">
        <v>6.1</v>
      </c>
      <c r="C88" s="6"/>
      <c r="D88" s="6"/>
    </row>
    <row r="89" spans="1:4" ht="15" thickBot="1" x14ac:dyDescent="0.4">
      <c r="A89" s="4">
        <v>44287</v>
      </c>
      <c r="B89" s="5">
        <v>6.1</v>
      </c>
      <c r="C89" s="7"/>
      <c r="D89" s="7"/>
    </row>
    <row r="90" spans="1:4" ht="15" thickBot="1" x14ac:dyDescent="0.4">
      <c r="A90" s="2">
        <v>44317</v>
      </c>
      <c r="B90" s="3">
        <v>5.8</v>
      </c>
      <c r="C90" s="6"/>
      <c r="D90" s="6"/>
    </row>
    <row r="91" spans="1:4" ht="15" thickBot="1" x14ac:dyDescent="0.4">
      <c r="A91" s="4">
        <v>44348</v>
      </c>
      <c r="B91" s="5">
        <v>5.9</v>
      </c>
      <c r="C91" s="7"/>
      <c r="D91" s="7"/>
    </row>
    <row r="92" spans="1:4" ht="15" thickBot="1" x14ac:dyDescent="0.4">
      <c r="A92" s="2">
        <v>44378</v>
      </c>
      <c r="B92" s="3">
        <v>5.4</v>
      </c>
      <c r="C92" s="6"/>
      <c r="D92" s="6"/>
    </row>
    <row r="93" spans="1:4" ht="15" thickBot="1" x14ac:dyDescent="0.4">
      <c r="A93" s="4">
        <v>44409</v>
      </c>
      <c r="B93" s="5">
        <v>5.0999999999999996</v>
      </c>
      <c r="C93" s="7"/>
      <c r="D93" s="7"/>
    </row>
    <row r="94" spans="1:4" ht="15" thickBot="1" x14ac:dyDescent="0.4">
      <c r="A94" s="2">
        <v>44440</v>
      </c>
      <c r="B94" s="3">
        <v>4.7</v>
      </c>
      <c r="C94" s="6"/>
      <c r="D94" s="6"/>
    </row>
    <row r="95" spans="1:4" ht="15" thickBot="1" x14ac:dyDescent="0.4">
      <c r="A95" s="4">
        <v>44470</v>
      </c>
      <c r="B95" s="5">
        <v>4.5</v>
      </c>
      <c r="C95" s="7"/>
      <c r="D95" s="7"/>
    </row>
    <row r="96" spans="1:4" ht="15" thickBot="1" x14ac:dyDescent="0.4">
      <c r="A96" s="2">
        <v>44501</v>
      </c>
      <c r="B96" s="3">
        <v>4.0999999999999996</v>
      </c>
      <c r="C96" s="6"/>
      <c r="D96" s="6"/>
    </row>
    <row r="97" spans="1:4" ht="15" thickBot="1" x14ac:dyDescent="0.4">
      <c r="A97" s="4">
        <v>44531</v>
      </c>
      <c r="B97" s="5">
        <v>3.9</v>
      </c>
      <c r="C97" s="7"/>
      <c r="D97" s="7"/>
    </row>
    <row r="98" spans="1:4" ht="15" thickBot="1" x14ac:dyDescent="0.4">
      <c r="A98" s="2">
        <v>44562</v>
      </c>
      <c r="B98" s="3">
        <v>4</v>
      </c>
      <c r="C98" s="6"/>
      <c r="D98" s="6"/>
    </row>
    <row r="99" spans="1:4" ht="15" thickBot="1" x14ac:dyDescent="0.4">
      <c r="A99" s="4">
        <v>44593</v>
      </c>
      <c r="B99" s="5">
        <v>3.9</v>
      </c>
      <c r="C99" s="7"/>
      <c r="D99" s="7"/>
    </row>
    <row r="100" spans="1:4" ht="15" thickBot="1" x14ac:dyDescent="0.4">
      <c r="A100" s="2">
        <v>44621</v>
      </c>
      <c r="B100" s="3">
        <v>3.7</v>
      </c>
      <c r="C100" s="6"/>
      <c r="D100" s="6"/>
    </row>
    <row r="101" spans="1:4" ht="15" thickBot="1" x14ac:dyDescent="0.4">
      <c r="A101" s="4">
        <v>44652</v>
      </c>
      <c r="B101" s="5">
        <v>3.7</v>
      </c>
      <c r="C101" s="7"/>
      <c r="D101" s="7"/>
    </row>
    <row r="102" spans="1:4" ht="15" thickBot="1" x14ac:dyDescent="0.4">
      <c r="A102" s="2">
        <v>44682</v>
      </c>
      <c r="B102" s="3">
        <v>3.6</v>
      </c>
      <c r="C102" s="6"/>
      <c r="D102" s="6"/>
    </row>
    <row r="103" spans="1:4" ht="15" thickBot="1" x14ac:dyDescent="0.4">
      <c r="A103" s="4">
        <v>44713</v>
      </c>
      <c r="B103" s="5">
        <v>3.6</v>
      </c>
      <c r="C103" s="7"/>
      <c r="D103" s="7"/>
    </row>
    <row r="104" spans="1:4" ht="15" thickBot="1" x14ac:dyDescent="0.4">
      <c r="A104" s="2">
        <v>44743</v>
      </c>
      <c r="B104" s="3">
        <v>3.5</v>
      </c>
      <c r="C104" s="6"/>
      <c r="D104" s="6"/>
    </row>
    <row r="105" spans="1:4" ht="15" thickBot="1" x14ac:dyDescent="0.4">
      <c r="A105" s="4">
        <v>44774</v>
      </c>
      <c r="B105" s="5">
        <v>3.6</v>
      </c>
      <c r="C105" s="7"/>
      <c r="D105" s="7"/>
    </row>
    <row r="106" spans="1:4" ht="15" thickBot="1" x14ac:dyDescent="0.4">
      <c r="A106" s="2">
        <v>44805</v>
      </c>
      <c r="B106" s="3">
        <v>3.5</v>
      </c>
      <c r="C106" s="6"/>
      <c r="D106" s="6"/>
    </row>
    <row r="107" spans="1:4" ht="15" thickBot="1" x14ac:dyDescent="0.4">
      <c r="A107" s="4">
        <v>44835</v>
      </c>
      <c r="B107" s="5">
        <v>3.6</v>
      </c>
      <c r="C107" s="7"/>
      <c r="D107" s="7"/>
    </row>
    <row r="108" spans="1:4" ht="15" thickBot="1" x14ac:dyDescent="0.4">
      <c r="A108" s="2">
        <v>44866</v>
      </c>
      <c r="B108" s="3">
        <v>3.6</v>
      </c>
      <c r="C108" s="6"/>
      <c r="D108" s="6"/>
    </row>
    <row r="109" spans="1:4" ht="15" thickBot="1" x14ac:dyDescent="0.4">
      <c r="A109" s="4">
        <v>44896</v>
      </c>
      <c r="B109" s="5">
        <v>3.5</v>
      </c>
      <c r="C109" s="7"/>
      <c r="D109" s="7"/>
    </row>
    <row r="110" spans="1:4" ht="15" thickBot="1" x14ac:dyDescent="0.4">
      <c r="A110" s="2">
        <v>44927</v>
      </c>
      <c r="B110" s="3">
        <v>3.5</v>
      </c>
      <c r="C110" s="6"/>
      <c r="D110" s="6"/>
    </row>
    <row r="111" spans="1:4" ht="15" thickBot="1" x14ac:dyDescent="0.4">
      <c r="A111" s="4">
        <v>44958</v>
      </c>
      <c r="B111" s="5">
        <v>3.6</v>
      </c>
      <c r="C111" s="7"/>
      <c r="D111" s="7"/>
    </row>
    <row r="112" spans="1:4" ht="15" thickBot="1" x14ac:dyDescent="0.4">
      <c r="A112" s="2">
        <v>44986</v>
      </c>
      <c r="B112" s="3">
        <v>3.5</v>
      </c>
      <c r="C112" s="6"/>
      <c r="D112" s="6"/>
    </row>
    <row r="113" spans="1:4" ht="15" thickBot="1" x14ac:dyDescent="0.4">
      <c r="A113" s="4">
        <v>45017</v>
      </c>
      <c r="B113" s="5">
        <v>3.4</v>
      </c>
      <c r="C113" s="7"/>
      <c r="D113" s="7"/>
    </row>
    <row r="114" spans="1:4" ht="15" thickBot="1" x14ac:dyDescent="0.4">
      <c r="A114" s="2">
        <v>45047</v>
      </c>
      <c r="B114" s="3">
        <v>3.6</v>
      </c>
      <c r="C114" s="6"/>
      <c r="D114" s="6"/>
    </row>
    <row r="115" spans="1:4" ht="15" thickBot="1" x14ac:dyDescent="0.4">
      <c r="A115" s="4">
        <v>45078</v>
      </c>
      <c r="B115" s="5">
        <v>3.6</v>
      </c>
      <c r="C115" s="7"/>
      <c r="D115" s="7"/>
    </row>
    <row r="116" spans="1:4" ht="15" thickBot="1" x14ac:dyDescent="0.4">
      <c r="A116" s="2">
        <v>45108</v>
      </c>
      <c r="B116" s="3">
        <v>3.5</v>
      </c>
      <c r="C116" s="6"/>
      <c r="D116" s="6"/>
    </row>
    <row r="117" spans="1:4" ht="15" thickBot="1" x14ac:dyDescent="0.4">
      <c r="A117" s="4">
        <v>45139</v>
      </c>
      <c r="B117" s="5">
        <v>3.7</v>
      </c>
      <c r="C117" s="7"/>
      <c r="D117" s="7"/>
    </row>
    <row r="118" spans="1:4" ht="15" thickBot="1" x14ac:dyDescent="0.4">
      <c r="A118" s="2">
        <v>45170</v>
      </c>
      <c r="B118" s="3">
        <v>3.7</v>
      </c>
      <c r="C118" s="6"/>
      <c r="D118" s="6"/>
    </row>
    <row r="119" spans="1:4" ht="15" thickBot="1" x14ac:dyDescent="0.4">
      <c r="A119" s="4">
        <v>45200</v>
      </c>
      <c r="B119" s="5">
        <v>3.9</v>
      </c>
      <c r="C119" s="7"/>
      <c r="D119" s="7"/>
    </row>
    <row r="120" spans="1:4" ht="15" thickBot="1" x14ac:dyDescent="0.4">
      <c r="A120" s="2">
        <v>45231</v>
      </c>
      <c r="B120" s="3">
        <v>3.7</v>
      </c>
      <c r="C120" s="6"/>
      <c r="D120" s="6"/>
    </row>
    <row r="121" spans="1:4" ht="15" thickBot="1" x14ac:dyDescent="0.4">
      <c r="A121" s="4">
        <v>45261</v>
      </c>
      <c r="B121" s="5">
        <v>3.8</v>
      </c>
      <c r="C121" s="7"/>
      <c r="D121" s="7"/>
    </row>
    <row r="122" spans="1:4" ht="15" thickBot="1" x14ac:dyDescent="0.4">
      <c r="A122" s="2">
        <v>45292</v>
      </c>
      <c r="B122" s="3">
        <v>3.7</v>
      </c>
      <c r="C122" s="6"/>
      <c r="D122" s="6"/>
    </row>
    <row r="123" spans="1:4" ht="15" thickBot="1" x14ac:dyDescent="0.4">
      <c r="A123" s="4">
        <v>45323</v>
      </c>
      <c r="B123" s="5">
        <v>3.9</v>
      </c>
      <c r="C123" s="7"/>
      <c r="D123" s="7"/>
    </row>
    <row r="124" spans="1:4" ht="15" thickBot="1" x14ac:dyDescent="0.4">
      <c r="A124" s="2">
        <v>45352</v>
      </c>
      <c r="B124" s="3">
        <v>3.9</v>
      </c>
      <c r="C124" s="6"/>
      <c r="D124" s="6"/>
    </row>
    <row r="125" spans="1:4" ht="15" thickBot="1" x14ac:dyDescent="0.4">
      <c r="A125" s="4">
        <v>45383</v>
      </c>
      <c r="B125" s="5">
        <v>3.9</v>
      </c>
      <c r="C125" s="7"/>
      <c r="D125" s="7"/>
    </row>
    <row r="126" spans="1:4" ht="15" thickBot="1" x14ac:dyDescent="0.4">
      <c r="A126" s="2">
        <v>45413</v>
      </c>
      <c r="B126" s="3">
        <v>3.9</v>
      </c>
      <c r="C126" s="6"/>
      <c r="D126" s="6"/>
    </row>
    <row r="127" spans="1:4" ht="15" thickBot="1" x14ac:dyDescent="0.4">
      <c r="A127" s="4">
        <v>45444</v>
      </c>
      <c r="B127" s="5">
        <v>4.0999999999999996</v>
      </c>
      <c r="C127" s="7"/>
      <c r="D127" s="7"/>
    </row>
    <row r="128" spans="1:4" ht="15" thickBot="1" x14ac:dyDescent="0.4">
      <c r="A128" s="2">
        <v>45474</v>
      </c>
      <c r="B128" s="3">
        <v>4.2</v>
      </c>
      <c r="C128" s="6"/>
      <c r="D128" s="6"/>
    </row>
    <row r="129" spans="1:4" ht="15" thickBot="1" x14ac:dyDescent="0.4">
      <c r="A129" s="4">
        <v>45505</v>
      </c>
      <c r="B129" s="5">
        <v>4.2</v>
      </c>
      <c r="C129" s="7"/>
      <c r="D129" s="7"/>
    </row>
    <row r="130" spans="1:4" ht="15" thickBot="1" x14ac:dyDescent="0.4">
      <c r="A130" s="2">
        <v>45536</v>
      </c>
      <c r="B130" s="3">
        <v>4.0999999999999996</v>
      </c>
      <c r="C130" s="6"/>
      <c r="D130" s="6"/>
    </row>
    <row r="131" spans="1:4" ht="15" thickBot="1" x14ac:dyDescent="0.4">
      <c r="A131" s="4">
        <v>45566</v>
      </c>
      <c r="B131" s="5">
        <v>4.0999999999999996</v>
      </c>
      <c r="C131" s="7"/>
      <c r="D131" s="7"/>
    </row>
    <row r="132" spans="1:4" ht="15" thickBot="1" x14ac:dyDescent="0.4">
      <c r="A132" s="2">
        <v>45597</v>
      </c>
      <c r="B132" s="3">
        <v>4.2</v>
      </c>
      <c r="C132" s="6"/>
      <c r="D132" s="6"/>
    </row>
    <row r="133" spans="1:4" ht="15" thickBot="1" x14ac:dyDescent="0.4">
      <c r="A133" s="4">
        <v>45627</v>
      </c>
      <c r="B133" s="5">
        <v>4.0999999999999996</v>
      </c>
      <c r="C133" s="7"/>
      <c r="D133" s="7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DaSilva Morais, Jessica Ines - (jdasilvamorais)</dc:creator>
  <cp:lastModifiedBy>DaSilva Morais, Jessica Ines - (jdasilvamorais)</cp:lastModifiedBy>
  <dcterms:created xsi:type="dcterms:W3CDTF">2026-04-30T23:27:13Z</dcterms:created>
  <dcterms:modified xsi:type="dcterms:W3CDTF">2026-05-05T21:34:30Z</dcterms:modified>
</cp:coreProperties>
</file>